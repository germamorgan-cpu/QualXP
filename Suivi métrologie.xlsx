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morgan gc\Desktop\EmVisage\Morgan\Statistique\Excel\Excel pro\"/>
    </mc:Choice>
  </mc:AlternateContent>
  <xr:revisionPtr revIDLastSave="0" documentId="13_ncr:1_{2402BE8F-263F-4FCB-B55D-CF264DBCD285}" xr6:coauthVersionLast="47" xr6:coauthVersionMax="47" xr10:uidLastSave="{00000000-0000-0000-0000-000000000000}"/>
  <bookViews>
    <workbookView xWindow="0" yWindow="375" windowWidth="27300" windowHeight="15105" xr2:uid="{00000000-000D-0000-FFFF-FFFF00000000}"/>
  </bookViews>
  <sheets>
    <sheet name="OPPERET" sheetId="6" r:id="rId1"/>
    <sheet name="Risk maanagement"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71" i="6" l="1"/>
  <c r="AA71" i="6"/>
  <c r="Z71" i="6"/>
  <c r="Y71" i="6"/>
  <c r="X71" i="6"/>
  <c r="W71" i="6"/>
  <c r="V71" i="6"/>
  <c r="U71" i="6"/>
  <c r="T71" i="6"/>
  <c r="AD71" i="6" s="1"/>
  <c r="AB70" i="6"/>
  <c r="AA70" i="6"/>
  <c r="Z70" i="6"/>
  <c r="Y70" i="6"/>
  <c r="X70" i="6"/>
  <c r="W70" i="6"/>
  <c r="V70" i="6"/>
  <c r="U70" i="6"/>
  <c r="T70" i="6"/>
  <c r="AC70" i="6" s="1"/>
  <c r="AB69" i="6"/>
  <c r="AA69" i="6"/>
  <c r="Z69" i="6"/>
  <c r="Y69" i="6"/>
  <c r="X69" i="6"/>
  <c r="W69" i="6"/>
  <c r="V69" i="6"/>
  <c r="U69" i="6"/>
  <c r="T69" i="6"/>
  <c r="AD69" i="6" s="1"/>
  <c r="AB68" i="6"/>
  <c r="AA68" i="6"/>
  <c r="Z68" i="6"/>
  <c r="Y68" i="6"/>
  <c r="X68" i="6"/>
  <c r="W68" i="6"/>
  <c r="V68" i="6"/>
  <c r="U68" i="6"/>
  <c r="T68" i="6"/>
  <c r="AC68" i="6" s="1"/>
  <c r="AB67" i="6"/>
  <c r="AA67" i="6"/>
  <c r="Z67" i="6"/>
  <c r="Y67" i="6"/>
  <c r="X67" i="6"/>
  <c r="W67" i="6"/>
  <c r="V67" i="6"/>
  <c r="U67" i="6"/>
  <c r="T67" i="6"/>
  <c r="AD67" i="6" s="1"/>
  <c r="AB66" i="6"/>
  <c r="AA66" i="6"/>
  <c r="Z66" i="6"/>
  <c r="Y66" i="6"/>
  <c r="X66" i="6"/>
  <c r="W66" i="6"/>
  <c r="V66" i="6"/>
  <c r="U66" i="6"/>
  <c r="T66" i="6"/>
  <c r="AD66" i="6" s="1"/>
  <c r="AB65" i="6"/>
  <c r="AA65" i="6"/>
  <c r="Z65" i="6"/>
  <c r="Y65" i="6"/>
  <c r="X65" i="6"/>
  <c r="W65" i="6"/>
  <c r="V65" i="6"/>
  <c r="U65" i="6"/>
  <c r="T65" i="6"/>
  <c r="AD65" i="6" s="1"/>
  <c r="AB64" i="6"/>
  <c r="AA64" i="6"/>
  <c r="Z64" i="6"/>
  <c r="Y64" i="6"/>
  <c r="X64" i="6"/>
  <c r="W64" i="6"/>
  <c r="V64" i="6"/>
  <c r="U64" i="6"/>
  <c r="T64" i="6"/>
  <c r="AC64" i="6" s="1"/>
  <c r="AB63" i="6"/>
  <c r="AA63" i="6"/>
  <c r="Z63" i="6"/>
  <c r="Y63" i="6"/>
  <c r="X63" i="6"/>
  <c r="W63" i="6"/>
  <c r="V63" i="6"/>
  <c r="U63" i="6"/>
  <c r="T63" i="6"/>
  <c r="AD63" i="6" s="1"/>
  <c r="AB62" i="6"/>
  <c r="AA62" i="6"/>
  <c r="Z62" i="6"/>
  <c r="Y62" i="6"/>
  <c r="X62" i="6"/>
  <c r="W62" i="6"/>
  <c r="V62" i="6"/>
  <c r="U62" i="6"/>
  <c r="T62" i="6"/>
  <c r="AC62" i="6" s="1"/>
  <c r="AB61" i="6"/>
  <c r="AA61" i="6"/>
  <c r="Z61" i="6"/>
  <c r="Y61" i="6"/>
  <c r="X61" i="6"/>
  <c r="W61" i="6"/>
  <c r="V61" i="6"/>
  <c r="U61" i="6"/>
  <c r="T61" i="6"/>
  <c r="AC61" i="6" s="1"/>
  <c r="AB60" i="6"/>
  <c r="AA60" i="6"/>
  <c r="Z60" i="6"/>
  <c r="Y60" i="6"/>
  <c r="X60" i="6"/>
  <c r="W60" i="6"/>
  <c r="V60" i="6"/>
  <c r="U60" i="6"/>
  <c r="T60" i="6"/>
  <c r="AD60" i="6" s="1"/>
  <c r="AB59" i="6"/>
  <c r="AA59" i="6"/>
  <c r="Z59" i="6"/>
  <c r="Y59" i="6"/>
  <c r="X59" i="6"/>
  <c r="W59" i="6"/>
  <c r="V59" i="6"/>
  <c r="U59" i="6"/>
  <c r="T59" i="6"/>
  <c r="AD59" i="6" s="1"/>
  <c r="AB58" i="6"/>
  <c r="AA58" i="6"/>
  <c r="Z58" i="6"/>
  <c r="Y58" i="6"/>
  <c r="X58" i="6"/>
  <c r="W58" i="6"/>
  <c r="V58" i="6"/>
  <c r="U58" i="6"/>
  <c r="T58" i="6"/>
  <c r="AC58" i="6" s="1"/>
  <c r="AB57" i="6"/>
  <c r="AA57" i="6"/>
  <c r="Z57" i="6"/>
  <c r="Y57" i="6"/>
  <c r="X57" i="6"/>
  <c r="W57" i="6"/>
  <c r="V57" i="6"/>
  <c r="U57" i="6"/>
  <c r="T57" i="6"/>
  <c r="AD57" i="6" s="1"/>
  <c r="AB56" i="6"/>
  <c r="AA56" i="6"/>
  <c r="Z56" i="6"/>
  <c r="Y56" i="6"/>
  <c r="X56" i="6"/>
  <c r="W56" i="6"/>
  <c r="V56" i="6"/>
  <c r="U56" i="6"/>
  <c r="T56" i="6"/>
  <c r="AC56" i="6" s="1"/>
  <c r="AB55" i="6"/>
  <c r="AA55" i="6"/>
  <c r="Z55" i="6"/>
  <c r="Y55" i="6"/>
  <c r="X55" i="6"/>
  <c r="W55" i="6"/>
  <c r="V55" i="6"/>
  <c r="U55" i="6"/>
  <c r="T55" i="6"/>
  <c r="AC55" i="6" s="1"/>
  <c r="AB54" i="6"/>
  <c r="AA54" i="6"/>
  <c r="Z54" i="6"/>
  <c r="Y54" i="6"/>
  <c r="X54" i="6"/>
  <c r="W54" i="6"/>
  <c r="V54" i="6"/>
  <c r="U54" i="6"/>
  <c r="T54" i="6"/>
  <c r="AD54" i="6" s="1"/>
  <c r="AB53" i="6"/>
  <c r="AA53" i="6"/>
  <c r="Z53" i="6"/>
  <c r="Y53" i="6"/>
  <c r="X53" i="6"/>
  <c r="W53" i="6"/>
  <c r="V53" i="6"/>
  <c r="U53" i="6"/>
  <c r="T53" i="6"/>
  <c r="AC53" i="6" s="1"/>
  <c r="AB52" i="6"/>
  <c r="AA52" i="6"/>
  <c r="Z52" i="6"/>
  <c r="Y52" i="6"/>
  <c r="X52" i="6"/>
  <c r="W52" i="6"/>
  <c r="V52" i="6"/>
  <c r="U52" i="6"/>
  <c r="T52" i="6"/>
  <c r="AC52" i="6" s="1"/>
  <c r="AB51" i="6"/>
  <c r="AA51" i="6"/>
  <c r="Z51" i="6"/>
  <c r="Y51" i="6"/>
  <c r="X51" i="6"/>
  <c r="W51" i="6"/>
  <c r="V51" i="6"/>
  <c r="U51" i="6"/>
  <c r="T51" i="6"/>
  <c r="AD51" i="6" s="1"/>
  <c r="AB50" i="6"/>
  <c r="AA50" i="6"/>
  <c r="Z50" i="6"/>
  <c r="Y50" i="6"/>
  <c r="X50" i="6"/>
  <c r="W50" i="6"/>
  <c r="V50" i="6"/>
  <c r="U50" i="6"/>
  <c r="T50" i="6"/>
  <c r="AC50" i="6" s="1"/>
  <c r="AB49" i="6"/>
  <c r="AA49" i="6"/>
  <c r="Z49" i="6"/>
  <c r="Y49" i="6"/>
  <c r="X49" i="6"/>
  <c r="W49" i="6"/>
  <c r="V49" i="6"/>
  <c r="U49" i="6"/>
  <c r="T49" i="6"/>
  <c r="AC49" i="6" s="1"/>
  <c r="AB48" i="6"/>
  <c r="AA48" i="6"/>
  <c r="Z48" i="6"/>
  <c r="Y48" i="6"/>
  <c r="X48" i="6"/>
  <c r="W48" i="6"/>
  <c r="V48" i="6"/>
  <c r="U48" i="6"/>
  <c r="T48" i="6"/>
  <c r="AD48" i="6" s="1"/>
  <c r="AB47" i="6"/>
  <c r="AA47" i="6"/>
  <c r="Z47" i="6"/>
  <c r="Y47" i="6"/>
  <c r="X47" i="6"/>
  <c r="W47" i="6"/>
  <c r="V47" i="6"/>
  <c r="U47" i="6"/>
  <c r="T47" i="6"/>
  <c r="AC47" i="6" s="1"/>
  <c r="AB46" i="6"/>
  <c r="AA46" i="6"/>
  <c r="Z46" i="6"/>
  <c r="Y46" i="6"/>
  <c r="X46" i="6"/>
  <c r="W46" i="6"/>
  <c r="V46" i="6"/>
  <c r="U46" i="6"/>
  <c r="T46" i="6"/>
  <c r="AC46" i="6" s="1"/>
  <c r="AB45" i="6"/>
  <c r="AA45" i="6"/>
  <c r="Z45" i="6"/>
  <c r="Y45" i="6"/>
  <c r="X45" i="6"/>
  <c r="W45" i="6"/>
  <c r="V45" i="6"/>
  <c r="U45" i="6"/>
  <c r="T45" i="6"/>
  <c r="AD45" i="6" s="1"/>
  <c r="L36" i="6"/>
  <c r="K36" i="6"/>
  <c r="J36" i="6"/>
  <c r="I36" i="6"/>
  <c r="H36" i="6"/>
  <c r="G36" i="6"/>
  <c r="F36" i="6"/>
  <c r="E36" i="6"/>
  <c r="D36" i="6"/>
  <c r="L35" i="6"/>
  <c r="AB43" i="6" s="1"/>
  <c r="K35" i="6"/>
  <c r="AA44" i="6" s="1"/>
  <c r="J35" i="6"/>
  <c r="I35" i="6"/>
  <c r="H35" i="6"/>
  <c r="X42" i="6" s="1"/>
  <c r="G35" i="6"/>
  <c r="W43" i="6" s="1"/>
  <c r="F35" i="6"/>
  <c r="E35" i="6"/>
  <c r="D35" i="6"/>
  <c r="T44" i="6" s="1"/>
  <c r="V42" i="6" l="1"/>
  <c r="Z37" i="6"/>
  <c r="U44" i="6"/>
  <c r="Y42" i="6"/>
  <c r="AD55" i="6"/>
  <c r="AD62" i="6"/>
  <c r="AD53" i="6"/>
  <c r="AB38" i="6"/>
  <c r="AC51" i="6"/>
  <c r="AB39" i="6"/>
  <c r="AD49" i="6"/>
  <c r="X44" i="6"/>
  <c r="AD47" i="6"/>
  <c r="V39" i="6"/>
  <c r="X37" i="6"/>
  <c r="AD64" i="6"/>
  <c r="Z42" i="6"/>
  <c r="T40" i="6"/>
  <c r="AB42" i="6"/>
  <c r="AC59" i="6"/>
  <c r="AD68" i="6"/>
  <c r="AD70" i="6"/>
  <c r="V38" i="6"/>
  <c r="X40" i="6"/>
  <c r="AB41" i="6"/>
  <c r="X43" i="6"/>
  <c r="AD50" i="6"/>
  <c r="AD52" i="6"/>
  <c r="AD61" i="6"/>
  <c r="AC63" i="6"/>
  <c r="AC65" i="6"/>
  <c r="AC67" i="6"/>
  <c r="V41" i="6"/>
  <c r="AA37" i="6"/>
  <c r="T39" i="6"/>
  <c r="X41" i="6"/>
  <c r="AB44" i="6"/>
  <c r="AD46" i="6"/>
  <c r="AC57" i="6"/>
  <c r="V43" i="6"/>
  <c r="Z44" i="6"/>
  <c r="T37" i="6"/>
  <c r="X38" i="6"/>
  <c r="Z39" i="6"/>
  <c r="Z40" i="6"/>
  <c r="T42" i="6"/>
  <c r="V44" i="6"/>
  <c r="AC45" i="6"/>
  <c r="AD56" i="6"/>
  <c r="AD58" i="6"/>
  <c r="AC69" i="6"/>
  <c r="AC71" i="6"/>
  <c r="Y37" i="6"/>
  <c r="W38" i="6"/>
  <c r="U39" i="6"/>
  <c r="AA39" i="6"/>
  <c r="Y40" i="6"/>
  <c r="W41" i="6"/>
  <c r="U42" i="6"/>
  <c r="AA42" i="6"/>
  <c r="Y43" i="6"/>
  <c r="W44" i="6"/>
  <c r="T43" i="6"/>
  <c r="Z43" i="6"/>
  <c r="Y38" i="6"/>
  <c r="W39" i="6"/>
  <c r="U40" i="6"/>
  <c r="AA40" i="6"/>
  <c r="Y41" i="6"/>
  <c r="W42" i="6"/>
  <c r="U43" i="6"/>
  <c r="AA43" i="6"/>
  <c r="Y44" i="6"/>
  <c r="AC48" i="6"/>
  <c r="AC54" i="6"/>
  <c r="AC60" i="6"/>
  <c r="AC66" i="6"/>
  <c r="V37" i="6"/>
  <c r="AB37" i="6"/>
  <c r="T38" i="6"/>
  <c r="Z38" i="6"/>
  <c r="X39" i="6"/>
  <c r="V40" i="6"/>
  <c r="AB40" i="6"/>
  <c r="T41" i="6"/>
  <c r="Z41" i="6"/>
  <c r="U37" i="6"/>
  <c r="W37" i="6"/>
  <c r="U38" i="6"/>
  <c r="AA38" i="6"/>
  <c r="Y39" i="6"/>
  <c r="W40" i="6"/>
  <c r="U41" i="6"/>
  <c r="AA41" i="6"/>
  <c r="AC42" i="6" l="1"/>
  <c r="AC40" i="6"/>
  <c r="AC44" i="6"/>
  <c r="AC37" i="6"/>
  <c r="AC39" i="6"/>
  <c r="AC38" i="6"/>
  <c r="AC41" i="6"/>
  <c r="AC43" i="6"/>
  <c r="AC36" i="6" l="1"/>
  <c r="N43" i="6"/>
  <c r="N40" i="6"/>
  <c r="N37" i="6"/>
  <c r="O41" i="6"/>
  <c r="O40" i="6"/>
  <c r="O42" i="6"/>
  <c r="O39" i="6"/>
  <c r="O38" i="6"/>
  <c r="N42" i="6"/>
  <c r="N39" i="6"/>
  <c r="O44" i="6"/>
  <c r="O43" i="6"/>
  <c r="O37" i="6"/>
  <c r="N44" i="6"/>
  <c r="N41" i="6"/>
  <c r="N38" i="6"/>
  <c r="AC35" i="6"/>
  <c r="AD37" i="6" l="1"/>
  <c r="P37" i="6" s="1"/>
  <c r="AD42" i="6"/>
  <c r="P42" i="6" s="1"/>
  <c r="AD39" i="6"/>
  <c r="P39" i="6" s="1"/>
  <c r="AD40" i="6"/>
  <c r="P40" i="6" s="1"/>
  <c r="AD44" i="6"/>
  <c r="AD43" i="6"/>
  <c r="P44" i="6"/>
  <c r="P43" i="6"/>
  <c r="AD38" i="6"/>
  <c r="P38" i="6" s="1"/>
  <c r="AD41" i="6"/>
  <c r="P41" i="6" s="1"/>
  <c r="X9" i="4" l="1"/>
  <c r="Y9" i="4"/>
  <c r="Z9" i="4"/>
  <c r="AA9" i="4"/>
  <c r="AB9" i="4"/>
  <c r="AC9" i="4"/>
  <c r="X10" i="4"/>
  <c r="Y10" i="4"/>
  <c r="Z10" i="4"/>
  <c r="AA10" i="4"/>
  <c r="AB10" i="4"/>
  <c r="AC10" i="4"/>
  <c r="X11" i="4"/>
  <c r="Y11" i="4"/>
  <c r="Z11" i="4"/>
  <c r="AA11" i="4"/>
  <c r="AB11" i="4"/>
  <c r="AC11" i="4"/>
  <c r="X12" i="4"/>
  <c r="Y12" i="4"/>
  <c r="Z12" i="4"/>
  <c r="AA12" i="4"/>
  <c r="AB12" i="4"/>
  <c r="AC12" i="4"/>
  <c r="X13" i="4"/>
  <c r="Y13" i="4"/>
  <c r="Z13" i="4"/>
  <c r="AA13" i="4"/>
  <c r="AB13" i="4"/>
  <c r="AC13" i="4"/>
  <c r="X14" i="4"/>
  <c r="Y14" i="4"/>
  <c r="Z14" i="4"/>
  <c r="AA14" i="4"/>
  <c r="AB14" i="4"/>
  <c r="AC14" i="4"/>
  <c r="X15" i="4"/>
  <c r="Y15" i="4"/>
  <c r="Z15" i="4"/>
  <c r="AA15" i="4"/>
  <c r="AB15" i="4"/>
  <c r="AC15" i="4"/>
  <c r="X16" i="4"/>
  <c r="Y16" i="4"/>
  <c r="Z16" i="4"/>
  <c r="AA16" i="4"/>
  <c r="AB16" i="4"/>
  <c r="AC16" i="4"/>
  <c r="X17" i="4"/>
  <c r="Y17" i="4"/>
  <c r="Z17" i="4"/>
  <c r="AA17" i="4"/>
  <c r="AB17" i="4"/>
  <c r="AC17" i="4"/>
  <c r="X18" i="4"/>
  <c r="Y18" i="4"/>
  <c r="Z18" i="4"/>
  <c r="AA18" i="4"/>
  <c r="AB18" i="4"/>
  <c r="AC18" i="4"/>
  <c r="X19" i="4"/>
  <c r="Y19" i="4"/>
  <c r="Z19" i="4"/>
  <c r="AA19" i="4"/>
  <c r="AB19" i="4"/>
  <c r="AC19" i="4"/>
  <c r="X20" i="4"/>
  <c r="Y20" i="4"/>
  <c r="Z20" i="4"/>
  <c r="AA20" i="4"/>
  <c r="AB20" i="4"/>
  <c r="AC20" i="4"/>
  <c r="X21" i="4"/>
  <c r="Y21" i="4"/>
  <c r="Z21" i="4"/>
  <c r="AA21" i="4"/>
  <c r="AB21" i="4"/>
  <c r="AC21" i="4"/>
  <c r="X22" i="4"/>
  <c r="Y22" i="4"/>
  <c r="Z22" i="4"/>
  <c r="AA22" i="4"/>
  <c r="AB22" i="4"/>
  <c r="AC22" i="4"/>
  <c r="X23" i="4"/>
  <c r="Y23" i="4"/>
  <c r="Z23" i="4"/>
  <c r="AA23" i="4"/>
  <c r="AB23" i="4"/>
  <c r="AC23" i="4"/>
  <c r="X24" i="4"/>
  <c r="Y24" i="4"/>
  <c r="Z24" i="4"/>
  <c r="AA24" i="4"/>
  <c r="AB24" i="4"/>
  <c r="AC24" i="4"/>
  <c r="X25" i="4"/>
  <c r="Y25" i="4"/>
  <c r="Z25" i="4"/>
  <c r="AA25" i="4"/>
  <c r="AB25" i="4"/>
  <c r="AC25" i="4"/>
  <c r="X26" i="4"/>
  <c r="Y26" i="4"/>
  <c r="Z26" i="4"/>
  <c r="AA26" i="4"/>
  <c r="AB26" i="4"/>
  <c r="AC26" i="4"/>
  <c r="X27" i="4"/>
  <c r="Y27" i="4"/>
  <c r="Z27" i="4"/>
  <c r="AA27" i="4"/>
  <c r="AB27" i="4"/>
  <c r="AC27" i="4"/>
  <c r="X28" i="4"/>
  <c r="Y28" i="4"/>
  <c r="Z28" i="4"/>
  <c r="AA28" i="4"/>
  <c r="AB28" i="4"/>
  <c r="AC28" i="4"/>
  <c r="X29" i="4"/>
  <c r="Y29" i="4"/>
  <c r="Z29" i="4"/>
  <c r="AA29" i="4"/>
  <c r="AB29" i="4"/>
  <c r="AC29" i="4"/>
  <c r="X30" i="4"/>
  <c r="Y30" i="4"/>
  <c r="Z30" i="4"/>
  <c r="AA30" i="4"/>
  <c r="AB30" i="4"/>
  <c r="AC30" i="4"/>
  <c r="X31" i="4"/>
  <c r="Y31" i="4"/>
  <c r="Z31" i="4"/>
  <c r="AA31" i="4"/>
  <c r="AB31" i="4"/>
  <c r="AC31" i="4"/>
  <c r="X32" i="4"/>
  <c r="Y32" i="4"/>
  <c r="Z32" i="4"/>
  <c r="AA32" i="4"/>
  <c r="AB32" i="4"/>
  <c r="AC32" i="4"/>
  <c r="X33" i="4"/>
  <c r="Y33" i="4"/>
  <c r="Z33" i="4"/>
  <c r="AA33" i="4"/>
  <c r="AB33" i="4"/>
  <c r="AC33" i="4"/>
  <c r="X34" i="4"/>
  <c r="Y34" i="4"/>
  <c r="Z34" i="4"/>
  <c r="AA34" i="4"/>
  <c r="AB34" i="4"/>
  <c r="AC34" i="4"/>
  <c r="X35" i="4"/>
  <c r="Y35" i="4"/>
  <c r="Z35" i="4"/>
  <c r="AA35" i="4"/>
  <c r="AB35" i="4"/>
  <c r="AC35" i="4"/>
  <c r="X36" i="4"/>
  <c r="Y36" i="4"/>
  <c r="Z36" i="4"/>
  <c r="AA36" i="4"/>
  <c r="AB36" i="4"/>
  <c r="AC36" i="4"/>
  <c r="X37" i="4"/>
  <c r="Y37" i="4"/>
  <c r="Z37" i="4"/>
  <c r="AA37" i="4"/>
  <c r="AB37" i="4"/>
  <c r="AC37" i="4"/>
  <c r="X38" i="4"/>
  <c r="Y38" i="4"/>
  <c r="Z38" i="4"/>
  <c r="AA38" i="4"/>
  <c r="AB38" i="4"/>
  <c r="AC38" i="4"/>
  <c r="X39" i="4"/>
  <c r="Y39" i="4"/>
  <c r="Z39" i="4"/>
  <c r="AA39" i="4"/>
  <c r="AB39" i="4"/>
  <c r="AC39" i="4"/>
  <c r="X40" i="4"/>
  <c r="Y40" i="4"/>
  <c r="Z40" i="4"/>
  <c r="AA40" i="4"/>
  <c r="AB40" i="4"/>
  <c r="AC40" i="4"/>
  <c r="X41" i="4"/>
  <c r="Y41" i="4"/>
  <c r="Z41" i="4"/>
  <c r="AA41" i="4"/>
  <c r="AB41" i="4"/>
  <c r="AC41" i="4"/>
  <c r="X42" i="4"/>
  <c r="Y42" i="4"/>
  <c r="Z42" i="4"/>
  <c r="AA42" i="4"/>
  <c r="AB42" i="4"/>
  <c r="AC42" i="4"/>
  <c r="X43" i="4"/>
  <c r="Y43" i="4"/>
  <c r="Z43" i="4"/>
  <c r="AA43" i="4"/>
  <c r="AB43" i="4"/>
  <c r="AC43" i="4"/>
  <c r="X44" i="4"/>
  <c r="Y44" i="4"/>
  <c r="Z44" i="4"/>
  <c r="AA44" i="4"/>
  <c r="AB44" i="4"/>
  <c r="AC44" i="4"/>
  <c r="X45" i="4"/>
  <c r="Y45" i="4"/>
  <c r="Z45" i="4"/>
  <c r="AA45" i="4"/>
  <c r="AB45" i="4"/>
  <c r="AC45" i="4"/>
  <c r="X46" i="4"/>
  <c r="Y46" i="4"/>
  <c r="Z46" i="4"/>
  <c r="AA46" i="4"/>
  <c r="AB46" i="4"/>
  <c r="AC46" i="4"/>
  <c r="X47" i="4"/>
  <c r="Y47" i="4"/>
  <c r="Z47" i="4"/>
  <c r="AA47" i="4"/>
  <c r="AB47" i="4"/>
  <c r="AC47" i="4"/>
  <c r="X48" i="4"/>
  <c r="Y48" i="4"/>
  <c r="Z48" i="4"/>
  <c r="AA48" i="4"/>
  <c r="AB48" i="4"/>
  <c r="AC48" i="4"/>
  <c r="X49" i="4"/>
  <c r="Y49" i="4"/>
  <c r="Z49" i="4"/>
  <c r="AA49" i="4"/>
  <c r="AB49" i="4"/>
  <c r="AC49" i="4"/>
  <c r="X50" i="4"/>
  <c r="Y50" i="4"/>
  <c r="Z50" i="4"/>
  <c r="AA50" i="4"/>
  <c r="AB50" i="4"/>
  <c r="AC50" i="4"/>
  <c r="X51" i="4"/>
  <c r="Y51" i="4"/>
  <c r="Z51" i="4"/>
  <c r="AA51" i="4"/>
  <c r="AB51" i="4"/>
  <c r="AC51" i="4"/>
  <c r="X52" i="4"/>
  <c r="Y52" i="4"/>
  <c r="Z52" i="4"/>
  <c r="AA52" i="4"/>
  <c r="AB52" i="4"/>
  <c r="AC52" i="4"/>
  <c r="X53" i="4"/>
  <c r="Y53" i="4"/>
  <c r="Z53" i="4"/>
  <c r="AA53" i="4"/>
  <c r="AB53" i="4"/>
  <c r="AC53" i="4"/>
  <c r="X54" i="4"/>
  <c r="Y54" i="4"/>
  <c r="Z54" i="4"/>
  <c r="AA54" i="4"/>
  <c r="AB54" i="4"/>
  <c r="AC54" i="4"/>
  <c r="X55" i="4"/>
  <c r="Y55" i="4"/>
  <c r="Z55" i="4"/>
  <c r="AA55" i="4"/>
  <c r="AB55" i="4"/>
  <c r="AC55" i="4"/>
  <c r="X56" i="4"/>
  <c r="Y56" i="4"/>
  <c r="Z56" i="4"/>
  <c r="AA56" i="4"/>
  <c r="AB56" i="4"/>
  <c r="AC56" i="4"/>
  <c r="X57" i="4"/>
  <c r="Y57" i="4"/>
  <c r="Z57" i="4"/>
  <c r="AA57" i="4"/>
  <c r="AB57" i="4"/>
  <c r="AC57" i="4"/>
  <c r="X58" i="4"/>
  <c r="Y58" i="4"/>
  <c r="Z58" i="4"/>
  <c r="AA58" i="4"/>
  <c r="AB58" i="4"/>
  <c r="AC58" i="4"/>
  <c r="X59" i="4"/>
  <c r="Y59" i="4"/>
  <c r="Z59" i="4"/>
  <c r="AA59" i="4"/>
  <c r="AB59" i="4"/>
  <c r="AC59" i="4"/>
  <c r="X60" i="4"/>
  <c r="Y60" i="4"/>
  <c r="Z60" i="4"/>
  <c r="AA60" i="4"/>
  <c r="AB60" i="4"/>
  <c r="AC60" i="4"/>
  <c r="X61" i="4"/>
  <c r="Y61" i="4"/>
  <c r="Z61" i="4"/>
  <c r="AA61" i="4"/>
  <c r="AB61" i="4"/>
  <c r="AC61" i="4"/>
  <c r="X62" i="4"/>
  <c r="Y62" i="4"/>
  <c r="Z62" i="4"/>
  <c r="AA62" i="4"/>
  <c r="AB62" i="4"/>
  <c r="AC62" i="4"/>
  <c r="X63" i="4"/>
  <c r="Y63" i="4"/>
  <c r="Z63" i="4"/>
  <c r="AA63" i="4"/>
  <c r="AB63" i="4"/>
  <c r="AC63" i="4"/>
  <c r="X64" i="4"/>
  <c r="Y64" i="4"/>
  <c r="Z64" i="4"/>
  <c r="AA64" i="4"/>
  <c r="AB64" i="4"/>
  <c r="AC64" i="4"/>
  <c r="X65" i="4"/>
  <c r="Y65" i="4"/>
  <c r="Z65" i="4"/>
  <c r="AA65" i="4"/>
  <c r="AB65" i="4"/>
  <c r="AC65" i="4"/>
  <c r="X66" i="4"/>
  <c r="Y66" i="4"/>
  <c r="Z66" i="4"/>
  <c r="AA66" i="4"/>
  <c r="AB66" i="4"/>
  <c r="AC66" i="4"/>
  <c r="X67" i="4"/>
  <c r="Y67" i="4"/>
  <c r="Z67" i="4"/>
  <c r="AA67" i="4"/>
  <c r="AB67" i="4"/>
  <c r="AC67" i="4"/>
  <c r="X68" i="4"/>
  <c r="Y68" i="4"/>
  <c r="Z68" i="4"/>
  <c r="AA68" i="4"/>
  <c r="AB68" i="4"/>
  <c r="AC68" i="4"/>
  <c r="X69" i="4"/>
  <c r="Y69" i="4"/>
  <c r="Z69" i="4"/>
  <c r="AA69" i="4"/>
  <c r="AB69" i="4"/>
  <c r="AC69" i="4"/>
  <c r="X70" i="4"/>
  <c r="Y70" i="4"/>
  <c r="Z70" i="4"/>
  <c r="AA70" i="4"/>
  <c r="AB70" i="4"/>
  <c r="AC70" i="4"/>
  <c r="X71" i="4"/>
  <c r="Y71" i="4"/>
  <c r="Z71" i="4"/>
  <c r="AA71" i="4"/>
  <c r="AB71" i="4"/>
  <c r="AC71" i="4"/>
  <c r="X72" i="4"/>
  <c r="Y72" i="4"/>
  <c r="Z72" i="4"/>
  <c r="AA72" i="4"/>
  <c r="AB72" i="4"/>
  <c r="AC72" i="4"/>
  <c r="X73" i="4"/>
  <c r="Y73" i="4"/>
  <c r="Z73" i="4"/>
  <c r="AA73" i="4"/>
  <c r="AB73" i="4"/>
  <c r="AC73" i="4"/>
  <c r="X74" i="4"/>
  <c r="Y74" i="4"/>
  <c r="Z74" i="4"/>
  <c r="AA74" i="4"/>
  <c r="AB74" i="4"/>
  <c r="AC74" i="4"/>
  <c r="X75" i="4"/>
  <c r="Y75" i="4"/>
  <c r="Z75" i="4"/>
  <c r="AA75" i="4"/>
  <c r="AB75" i="4"/>
  <c r="AC75" i="4"/>
  <c r="X76" i="4"/>
  <c r="Y76" i="4"/>
  <c r="Z76" i="4"/>
  <c r="AA76" i="4"/>
  <c r="AB76" i="4"/>
  <c r="AC76" i="4"/>
  <c r="X77" i="4"/>
  <c r="Y77" i="4"/>
  <c r="Z77" i="4"/>
  <c r="AA77" i="4"/>
  <c r="AB77" i="4"/>
  <c r="AC77" i="4"/>
  <c r="X78" i="4"/>
  <c r="Y78" i="4"/>
  <c r="Z78" i="4"/>
  <c r="AA78" i="4"/>
  <c r="AB78" i="4"/>
  <c r="AC78" i="4"/>
  <c r="X79" i="4"/>
  <c r="Y79" i="4"/>
  <c r="Z79" i="4"/>
  <c r="AA79" i="4"/>
  <c r="AB79" i="4"/>
  <c r="AC79" i="4"/>
  <c r="X80" i="4"/>
  <c r="Y80" i="4"/>
  <c r="Z80" i="4"/>
  <c r="AA80" i="4"/>
  <c r="AB80" i="4"/>
  <c r="AC80" i="4"/>
  <c r="X81" i="4"/>
  <c r="Y81" i="4"/>
  <c r="Z81" i="4"/>
  <c r="AA81" i="4"/>
  <c r="AB81" i="4"/>
  <c r="AC81" i="4"/>
  <c r="X82" i="4"/>
  <c r="Y82" i="4"/>
  <c r="Z82" i="4"/>
  <c r="AA82" i="4"/>
  <c r="AB82" i="4"/>
  <c r="AC82" i="4"/>
  <c r="X83" i="4"/>
  <c r="Y83" i="4"/>
  <c r="Z83" i="4"/>
  <c r="AA83" i="4"/>
  <c r="AB83" i="4"/>
  <c r="AC83" i="4"/>
  <c r="X84" i="4"/>
  <c r="Y84" i="4"/>
  <c r="Z84" i="4"/>
  <c r="AA84" i="4"/>
  <c r="AB84" i="4"/>
  <c r="AC84" i="4"/>
  <c r="X85" i="4"/>
  <c r="Y85" i="4"/>
  <c r="Z85" i="4"/>
  <c r="AA85" i="4"/>
  <c r="AB85" i="4"/>
  <c r="AC85" i="4"/>
  <c r="X86" i="4"/>
  <c r="Y86" i="4"/>
  <c r="Z86" i="4"/>
  <c r="AA86" i="4"/>
  <c r="AB86" i="4"/>
  <c r="AC86" i="4"/>
  <c r="X87" i="4"/>
  <c r="Y87" i="4"/>
  <c r="Z87" i="4"/>
  <c r="AA87" i="4"/>
  <c r="AB87" i="4"/>
  <c r="AC87" i="4"/>
  <c r="X88" i="4"/>
  <c r="Y88" i="4"/>
  <c r="Z88" i="4"/>
  <c r="AA88" i="4"/>
  <c r="AB88" i="4"/>
  <c r="AC88" i="4"/>
  <c r="X89" i="4"/>
  <c r="Y89" i="4"/>
  <c r="Z89" i="4"/>
  <c r="AA89" i="4"/>
  <c r="AB89" i="4"/>
  <c r="AC89" i="4"/>
  <c r="X90" i="4"/>
  <c r="Y90" i="4"/>
  <c r="Z90" i="4"/>
  <c r="AA90" i="4"/>
  <c r="AB90" i="4"/>
  <c r="AC90" i="4"/>
  <c r="X91" i="4"/>
  <c r="Y91" i="4"/>
  <c r="Z91" i="4"/>
  <c r="AA91" i="4"/>
  <c r="AB91" i="4"/>
  <c r="AC91" i="4"/>
  <c r="X92" i="4"/>
  <c r="Y92" i="4"/>
  <c r="Z92" i="4"/>
  <c r="AA92" i="4"/>
  <c r="AB92" i="4"/>
  <c r="AC92" i="4"/>
  <c r="X93" i="4"/>
  <c r="Y93" i="4"/>
  <c r="Z93" i="4"/>
  <c r="AA93" i="4"/>
  <c r="AB93" i="4"/>
  <c r="AC93" i="4"/>
  <c r="X94" i="4"/>
  <c r="Y94" i="4"/>
  <c r="Z94" i="4"/>
  <c r="AA94" i="4"/>
  <c r="AB94" i="4"/>
  <c r="AC94" i="4"/>
  <c r="X95" i="4"/>
  <c r="Y95" i="4"/>
  <c r="Z95" i="4"/>
  <c r="AA95" i="4"/>
  <c r="AB95" i="4"/>
  <c r="AC95" i="4"/>
  <c r="X96" i="4"/>
  <c r="Y96" i="4"/>
  <c r="Z96" i="4"/>
  <c r="AA96" i="4"/>
  <c r="AB96" i="4"/>
  <c r="AC96" i="4"/>
  <c r="X97" i="4"/>
  <c r="Y97" i="4"/>
  <c r="Z97" i="4"/>
  <c r="AA97" i="4"/>
  <c r="AB97" i="4"/>
  <c r="AC97" i="4"/>
  <c r="X98" i="4"/>
  <c r="Y98" i="4"/>
  <c r="Z98" i="4"/>
  <c r="AA98" i="4"/>
  <c r="AB98" i="4"/>
  <c r="AC98" i="4"/>
  <c r="X99" i="4"/>
  <c r="AD99" i="4" s="1"/>
  <c r="Y99" i="4"/>
  <c r="Z99" i="4"/>
  <c r="AA99" i="4"/>
  <c r="AB99" i="4"/>
  <c r="AC99" i="4"/>
  <c r="X100" i="4"/>
  <c r="Y100" i="4"/>
  <c r="Z100" i="4"/>
  <c r="AA100" i="4"/>
  <c r="AB100" i="4"/>
  <c r="AC100" i="4"/>
  <c r="X101" i="4"/>
  <c r="Y101" i="4"/>
  <c r="Z101" i="4"/>
  <c r="AA101" i="4"/>
  <c r="AB101" i="4"/>
  <c r="AC101" i="4"/>
  <c r="X102" i="4"/>
  <c r="Y102" i="4"/>
  <c r="Z102" i="4"/>
  <c r="AA102" i="4"/>
  <c r="AB102" i="4"/>
  <c r="AC102" i="4"/>
  <c r="X103" i="4"/>
  <c r="AD103" i="4" s="1"/>
  <c r="Y103" i="4"/>
  <c r="Z103" i="4"/>
  <c r="AA103" i="4"/>
  <c r="AB103" i="4"/>
  <c r="AC103" i="4"/>
  <c r="X104" i="4"/>
  <c r="Y104" i="4"/>
  <c r="Z104" i="4"/>
  <c r="AA104" i="4"/>
  <c r="AB104" i="4"/>
  <c r="AC104" i="4"/>
  <c r="X105" i="4"/>
  <c r="Y105" i="4"/>
  <c r="Z105" i="4"/>
  <c r="AA105" i="4"/>
  <c r="AB105" i="4"/>
  <c r="AC105" i="4"/>
  <c r="X106" i="4"/>
  <c r="Y106" i="4"/>
  <c r="Z106" i="4"/>
  <c r="AA106" i="4"/>
  <c r="AB106" i="4"/>
  <c r="AC106" i="4"/>
  <c r="X107" i="4"/>
  <c r="Y107" i="4"/>
  <c r="Z107" i="4"/>
  <c r="AA107" i="4"/>
  <c r="AB107" i="4"/>
  <c r="AC107" i="4"/>
  <c r="X108" i="4"/>
  <c r="Y108" i="4"/>
  <c r="Z108" i="4"/>
  <c r="AA108" i="4"/>
  <c r="AB108" i="4"/>
  <c r="AC108" i="4"/>
  <c r="X109" i="4"/>
  <c r="Y109" i="4"/>
  <c r="Z109" i="4"/>
  <c r="AA109" i="4"/>
  <c r="AB109" i="4"/>
  <c r="AC109" i="4"/>
  <c r="X110" i="4"/>
  <c r="Y110" i="4"/>
  <c r="Z110" i="4"/>
  <c r="AA110" i="4"/>
  <c r="AB110" i="4"/>
  <c r="AC110" i="4"/>
  <c r="X111" i="4"/>
  <c r="AD111" i="4" s="1"/>
  <c r="Y111" i="4"/>
  <c r="Z111" i="4"/>
  <c r="AA111" i="4"/>
  <c r="AB111" i="4"/>
  <c r="AC111" i="4"/>
  <c r="X112" i="4"/>
  <c r="Y112" i="4"/>
  <c r="Z112" i="4"/>
  <c r="AA112" i="4"/>
  <c r="AB112" i="4"/>
  <c r="AC112" i="4"/>
  <c r="X113" i="4"/>
  <c r="AD113" i="4" s="1"/>
  <c r="Y113" i="4"/>
  <c r="Z113" i="4"/>
  <c r="AA113" i="4"/>
  <c r="AB113" i="4"/>
  <c r="AC113" i="4"/>
  <c r="X114" i="4"/>
  <c r="Y114" i="4"/>
  <c r="Z114" i="4"/>
  <c r="AA114" i="4"/>
  <c r="AB114" i="4"/>
  <c r="AC114" i="4"/>
  <c r="X115" i="4"/>
  <c r="Y115" i="4"/>
  <c r="Z115" i="4"/>
  <c r="AA115" i="4"/>
  <c r="AB115" i="4"/>
  <c r="AC115" i="4"/>
  <c r="X116" i="4"/>
  <c r="Y116" i="4"/>
  <c r="Z116" i="4"/>
  <c r="AA116" i="4"/>
  <c r="AB116" i="4"/>
  <c r="AC116" i="4"/>
  <c r="X117" i="4"/>
  <c r="AD117" i="4" s="1"/>
  <c r="Y117" i="4"/>
  <c r="Z117" i="4"/>
  <c r="AA117" i="4"/>
  <c r="AB117" i="4"/>
  <c r="AC117" i="4"/>
  <c r="X118" i="4"/>
  <c r="Y118" i="4"/>
  <c r="Z118" i="4"/>
  <c r="AA118" i="4"/>
  <c r="AB118" i="4"/>
  <c r="AC118" i="4"/>
  <c r="X119" i="4"/>
  <c r="Y119" i="4"/>
  <c r="Z119" i="4"/>
  <c r="AA119" i="4"/>
  <c r="AB119" i="4"/>
  <c r="AC119" i="4"/>
  <c r="X120" i="4"/>
  <c r="Y120" i="4"/>
  <c r="Z120" i="4"/>
  <c r="AA120" i="4"/>
  <c r="AB120" i="4"/>
  <c r="AC120" i="4"/>
  <c r="X121" i="4"/>
  <c r="Y121" i="4"/>
  <c r="Z121" i="4"/>
  <c r="AA121" i="4"/>
  <c r="AB121" i="4"/>
  <c r="AC121" i="4"/>
  <c r="X122" i="4"/>
  <c r="Y122" i="4"/>
  <c r="Z122" i="4"/>
  <c r="AA122" i="4"/>
  <c r="AB122" i="4"/>
  <c r="AC122" i="4"/>
  <c r="X123" i="4"/>
  <c r="Y123" i="4"/>
  <c r="Z123" i="4"/>
  <c r="AA123" i="4"/>
  <c r="AB123" i="4"/>
  <c r="AC123" i="4"/>
  <c r="X124" i="4"/>
  <c r="Y124" i="4"/>
  <c r="Z124" i="4"/>
  <c r="AA124" i="4"/>
  <c r="AB124" i="4"/>
  <c r="AC124" i="4"/>
  <c r="X125" i="4"/>
  <c r="Y125" i="4"/>
  <c r="Z125" i="4"/>
  <c r="AA125" i="4"/>
  <c r="AB125" i="4"/>
  <c r="AC125" i="4"/>
  <c r="X126" i="4"/>
  <c r="Y126" i="4"/>
  <c r="Z126" i="4"/>
  <c r="AA126" i="4"/>
  <c r="AB126" i="4"/>
  <c r="AC126" i="4"/>
  <c r="X127" i="4"/>
  <c r="Y127" i="4"/>
  <c r="Z127" i="4"/>
  <c r="AA127" i="4"/>
  <c r="AB127" i="4"/>
  <c r="AC127" i="4"/>
  <c r="X128" i="4"/>
  <c r="Y128" i="4"/>
  <c r="Z128" i="4"/>
  <c r="AA128" i="4"/>
  <c r="AB128" i="4"/>
  <c r="AC128" i="4"/>
  <c r="X129" i="4"/>
  <c r="Y129" i="4"/>
  <c r="Z129" i="4"/>
  <c r="AA129" i="4"/>
  <c r="AB129" i="4"/>
  <c r="AC129" i="4"/>
  <c r="X130" i="4"/>
  <c r="Y130" i="4"/>
  <c r="Z130" i="4"/>
  <c r="AA130" i="4"/>
  <c r="AB130" i="4"/>
  <c r="AC130" i="4"/>
  <c r="AD129" i="4" l="1"/>
  <c r="AD22" i="4"/>
  <c r="AD125" i="4"/>
  <c r="AD119" i="4"/>
  <c r="AD115" i="4"/>
  <c r="AD130" i="4"/>
  <c r="AD126" i="4"/>
  <c r="AD120" i="4"/>
  <c r="AD118" i="4"/>
  <c r="AD114" i="4"/>
  <c r="AD110" i="4"/>
  <c r="AD106" i="4"/>
  <c r="AD102" i="4"/>
  <c r="AD98" i="4"/>
  <c r="AD94" i="4"/>
  <c r="AD90" i="4"/>
  <c r="AD86" i="4"/>
  <c r="AD82" i="4"/>
  <c r="AD78" i="4"/>
  <c r="AD74" i="4"/>
  <c r="AD70" i="4"/>
  <c r="AD66" i="4"/>
  <c r="AD62" i="4"/>
  <c r="AD58" i="4"/>
  <c r="AD54" i="4"/>
  <c r="AD50" i="4"/>
  <c r="AD46" i="4"/>
  <c r="AD32" i="4"/>
  <c r="AD109" i="4"/>
  <c r="AD107" i="4"/>
  <c r="AD105" i="4"/>
  <c r="AD101" i="4"/>
  <c r="AD97" i="4"/>
  <c r="AD95" i="4"/>
  <c r="AD93" i="4"/>
  <c r="AD91" i="4"/>
  <c r="AD89" i="4"/>
  <c r="AD87" i="4"/>
  <c r="AD85" i="4"/>
  <c r="AD83" i="4"/>
  <c r="AD81" i="4"/>
  <c r="AD79" i="4"/>
  <c r="AD77" i="4"/>
  <c r="AD75" i="4"/>
  <c r="AD73" i="4"/>
  <c r="AD71" i="4"/>
  <c r="AD69" i="4"/>
  <c r="AD67" i="4"/>
  <c r="AD65" i="4"/>
  <c r="AD63" i="4"/>
  <c r="AD61" i="4"/>
  <c r="AD59" i="4"/>
  <c r="AD57" i="4"/>
  <c r="AD55" i="4"/>
  <c r="AD53" i="4"/>
  <c r="AD51" i="4"/>
  <c r="AD49" i="4"/>
  <c r="AD47" i="4"/>
  <c r="AD45" i="4"/>
  <c r="AD43" i="4"/>
  <c r="AD41" i="4"/>
  <c r="AD37" i="4"/>
  <c r="AD35" i="4"/>
  <c r="AD33" i="4"/>
  <c r="AD31" i="4"/>
  <c r="AD27" i="4"/>
  <c r="AD25" i="4"/>
  <c r="AD23" i="4"/>
  <c r="AD21" i="4"/>
  <c r="AD19" i="4"/>
  <c r="AD15" i="4"/>
  <c r="AD13" i="4"/>
  <c r="AD112" i="4"/>
  <c r="AD108" i="4"/>
  <c r="AD100" i="4"/>
  <c r="AD96" i="4"/>
  <c r="AD92" i="4"/>
  <c r="AD88" i="4"/>
  <c r="AD84" i="4"/>
  <c r="AD80" i="4"/>
  <c r="AD76" i="4"/>
  <c r="AD72" i="4"/>
  <c r="AD68" i="4"/>
  <c r="AD64" i="4"/>
  <c r="AD60" i="4"/>
  <c r="AD56" i="4"/>
  <c r="AD52" i="4"/>
  <c r="AD48" i="4"/>
  <c r="AD104" i="4"/>
  <c r="AD127" i="4"/>
  <c r="AD123" i="4"/>
  <c r="AD121" i="4"/>
  <c r="AD17" i="4"/>
  <c r="AD116" i="4"/>
  <c r="AD39" i="4"/>
  <c r="AD124" i="4"/>
  <c r="AD122" i="4"/>
  <c r="AD44" i="4"/>
  <c r="AD42" i="4"/>
  <c r="AD40" i="4"/>
  <c r="AD38" i="4"/>
  <c r="AD36" i="4"/>
  <c r="AD34" i="4"/>
  <c r="AD30" i="4"/>
  <c r="AD28" i="4"/>
  <c r="AD26" i="4"/>
  <c r="AD24" i="4"/>
  <c r="AD20" i="4"/>
  <c r="AD18" i="4"/>
  <c r="AD29" i="4"/>
  <c r="AD128" i="4"/>
  <c r="AD16" i="4"/>
  <c r="AD14" i="4"/>
  <c r="AD11" i="4"/>
  <c r="AD10" i="4"/>
  <c r="AD12" i="4"/>
  <c r="AD9" i="4"/>
  <c r="O120" i="4"/>
  <c r="O121" i="4"/>
  <c r="O122" i="4"/>
  <c r="O123" i="4"/>
  <c r="O15" i="4"/>
  <c r="O25" i="4"/>
  <c r="O26" i="4"/>
  <c r="O27" i="4"/>
  <c r="O28" i="4"/>
  <c r="O29" i="4"/>
  <c r="O30" i="4"/>
  <c r="O31" i="4"/>
  <c r="O32" i="4"/>
  <c r="O33" i="4"/>
  <c r="O34" i="4"/>
  <c r="O19" i="4"/>
  <c r="O17" i="4"/>
  <c r="O10" i="4"/>
  <c r="O11" i="4"/>
  <c r="O12" i="4"/>
  <c r="O13" i="4"/>
  <c r="O14" i="4"/>
  <c r="O16" i="4"/>
  <c r="O18" i="4"/>
  <c r="O20" i="4"/>
  <c r="O21" i="4"/>
  <c r="O22" i="4"/>
  <c r="O23" i="4"/>
  <c r="O24" i="4"/>
  <c r="O9" i="4"/>
  <c r="O67" i="4" l="1"/>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4" i="4"/>
  <c r="O125" i="4"/>
  <c r="O126" i="4"/>
  <c r="O127" i="4"/>
  <c r="O128" i="4"/>
  <c r="O129" i="4"/>
  <c r="O130" i="4"/>
  <c r="Y8" i="4"/>
  <c r="Z8" i="4"/>
  <c r="AA8" i="4"/>
  <c r="AB8" i="4"/>
  <c r="AC8" i="4"/>
  <c r="X8" i="4"/>
  <c r="O8" i="4"/>
  <c r="O66" i="4" l="1"/>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AD8" i="4"/>
</calcChain>
</file>

<file path=xl/sharedStrings.xml><?xml version="1.0" encoding="utf-8"?>
<sst xmlns="http://schemas.openxmlformats.org/spreadsheetml/2006/main" count="467" uniqueCount="278">
  <si>
    <t>hight</t>
  </si>
  <si>
    <t>normal</t>
  </si>
  <si>
    <t>low</t>
  </si>
  <si>
    <t>risk</t>
  </si>
  <si>
    <t>score</t>
  </si>
  <si>
    <t>Environment impact</t>
  </si>
  <si>
    <t>Historic drift</t>
  </si>
  <si>
    <t>Periodic verification</t>
  </si>
  <si>
    <t>no risk</t>
  </si>
  <si>
    <t>no drift since 3 years</t>
  </si>
  <si>
    <t>no drift since 5 years</t>
  </si>
  <si>
    <t>drift since last 3 years</t>
  </si>
  <si>
    <t>no impact</t>
  </si>
  <si>
    <t>&lt; 1 year</t>
  </si>
  <si>
    <t>Result</t>
  </si>
  <si>
    <t>weight score</t>
  </si>
  <si>
    <t>acceptable</t>
  </si>
  <si>
    <t>Risk Analisys</t>
  </si>
  <si>
    <t>Decision</t>
  </si>
  <si>
    <t>Who</t>
  </si>
  <si>
    <t>When</t>
  </si>
  <si>
    <t>necessary action</t>
  </si>
  <si>
    <t>volontary action</t>
  </si>
  <si>
    <t>NA</t>
  </si>
  <si>
    <t>1 year - 3 years</t>
  </si>
  <si>
    <t>&gt; 3 years</t>
  </si>
  <si>
    <t>No acceptable</t>
  </si>
  <si>
    <t>function</t>
  </si>
  <si>
    <t>&gt;0</t>
  </si>
  <si>
    <t>recommended action</t>
  </si>
  <si>
    <t>Operator</t>
  </si>
  <si>
    <t>Validation</t>
  </si>
  <si>
    <t>Product dvlpt</t>
  </si>
  <si>
    <t>Metrology</t>
  </si>
  <si>
    <t>FINAL CONTROL</t>
  </si>
  <si>
    <t>Consequence for patient</t>
  </si>
  <si>
    <t>patient risk</t>
  </si>
  <si>
    <t>simple / autotamic</t>
  </si>
  <si>
    <t>trained / manual</t>
  </si>
  <si>
    <t>Production</t>
  </si>
  <si>
    <r>
      <rPr>
        <u/>
        <sz val="14"/>
        <color theme="1"/>
        <rFont val="Calibri"/>
        <family val="2"/>
        <scheme val="minor"/>
      </rPr>
      <t>&lt;</t>
    </r>
    <r>
      <rPr>
        <sz val="14"/>
        <color theme="1"/>
        <rFont val="Calibri"/>
        <family val="2"/>
        <scheme val="minor"/>
      </rPr>
      <t>-4</t>
    </r>
  </si>
  <si>
    <r>
      <rPr>
        <u/>
        <sz val="14"/>
        <color theme="1"/>
        <rFont val="Calibri"/>
        <family val="2"/>
        <scheme val="minor"/>
      </rPr>
      <t>&lt;</t>
    </r>
    <r>
      <rPr>
        <sz val="14"/>
        <color theme="1"/>
        <rFont val="Calibri"/>
        <family val="2"/>
        <scheme val="minor"/>
      </rPr>
      <t>-1</t>
    </r>
  </si>
  <si>
    <t>sensitive (T°C, ressources)</t>
  </si>
  <si>
    <t>ALI-275396-5</t>
  </si>
  <si>
    <t>ALI-275398</t>
  </si>
  <si>
    <t>ALI-275401</t>
  </si>
  <si>
    <t>ALI-275460</t>
  </si>
  <si>
    <t>COM-1</t>
  </si>
  <si>
    <t>DEB-275468</t>
  </si>
  <si>
    <t>DYN-275457</t>
  </si>
  <si>
    <t>MAN-275486</t>
  </si>
  <si>
    <t>MAN-275488</t>
  </si>
  <si>
    <t>MAN-275491</t>
  </si>
  <si>
    <t>MAN-275493</t>
  </si>
  <si>
    <t>MAR-262-2</t>
  </si>
  <si>
    <t>MC-275001</t>
  </si>
  <si>
    <t>MC-275002</t>
  </si>
  <si>
    <t>MC-275003</t>
  </si>
  <si>
    <t>MC-275005</t>
  </si>
  <si>
    <t>MC-275009-2</t>
  </si>
  <si>
    <t>MC-275026</t>
  </si>
  <si>
    <t>MC-275027</t>
  </si>
  <si>
    <t>MC-275029</t>
  </si>
  <si>
    <t>MC-275031</t>
  </si>
  <si>
    <t>MC-275033</t>
  </si>
  <si>
    <t>MC-275034</t>
  </si>
  <si>
    <t>MC-275037</t>
  </si>
  <si>
    <t>MC-275042</t>
  </si>
  <si>
    <t>MC-275045</t>
  </si>
  <si>
    <t>MC-275046</t>
  </si>
  <si>
    <t>MC-275047</t>
  </si>
  <si>
    <t>MC-275051</t>
  </si>
  <si>
    <t>MC-275055</t>
  </si>
  <si>
    <t>MC-275066</t>
  </si>
  <si>
    <t>MC-275067</t>
  </si>
  <si>
    <t>MC-275068</t>
  </si>
  <si>
    <t>MC-275069</t>
  </si>
  <si>
    <t>MC-275072</t>
  </si>
  <si>
    <t>MC-275074</t>
  </si>
  <si>
    <t>MC-275075</t>
  </si>
  <si>
    <t>MC-275076</t>
  </si>
  <si>
    <t>MC-275077</t>
  </si>
  <si>
    <t>MC-275078</t>
  </si>
  <si>
    <t>MC-275079</t>
  </si>
  <si>
    <t>MC-275080-1</t>
  </si>
  <si>
    <t>MC-275089</t>
  </si>
  <si>
    <t>MC-275092</t>
  </si>
  <si>
    <t>MC-275122-1</t>
  </si>
  <si>
    <t>MC-275395-6</t>
  </si>
  <si>
    <t>MC-275396</t>
  </si>
  <si>
    <t>MC-275397-10</t>
  </si>
  <si>
    <t>MC-275397-4</t>
  </si>
  <si>
    <t>MC-275398-1</t>
  </si>
  <si>
    <t>MC-275400</t>
  </si>
  <si>
    <t>MC-275404</t>
  </si>
  <si>
    <t>MC-275406</t>
  </si>
  <si>
    <t>MC-275409</t>
  </si>
  <si>
    <t>MC-275476</t>
  </si>
  <si>
    <t>MC-275477-1</t>
  </si>
  <si>
    <t>MC-275484</t>
  </si>
  <si>
    <t>MC-275488</t>
  </si>
  <si>
    <t>MC-275493</t>
  </si>
  <si>
    <t>MC-275502</t>
  </si>
  <si>
    <t>MC-275512</t>
  </si>
  <si>
    <t>MC-275514</t>
  </si>
  <si>
    <t>MC-275516</t>
  </si>
  <si>
    <t>MC-275525</t>
  </si>
  <si>
    <t>MC-275527</t>
  </si>
  <si>
    <t>MC-275531</t>
  </si>
  <si>
    <t>MC-275532</t>
  </si>
  <si>
    <t>MC-275535</t>
  </si>
  <si>
    <t>MC-275540</t>
  </si>
  <si>
    <t>MC-275551</t>
  </si>
  <si>
    <t>MC-275562</t>
  </si>
  <si>
    <t>MC-275564</t>
  </si>
  <si>
    <t>MC-447</t>
  </si>
  <si>
    <t>MC-450</t>
  </si>
  <si>
    <t>MUL-275172-8</t>
  </si>
  <si>
    <t>PAC-568</t>
  </si>
  <si>
    <t>PAM-275499</t>
  </si>
  <si>
    <t>PIG-21</t>
  </si>
  <si>
    <t>PIG-40</t>
  </si>
  <si>
    <t>PIG-41</t>
  </si>
  <si>
    <t>PIG-5</t>
  </si>
  <si>
    <t>PIG-580</t>
  </si>
  <si>
    <t>PIG-581</t>
  </si>
  <si>
    <t>PIG-583</t>
  </si>
  <si>
    <t>PIG-584</t>
  </si>
  <si>
    <t>PIG-585</t>
  </si>
  <si>
    <t>PIG-586</t>
  </si>
  <si>
    <t>PIG-587</t>
  </si>
  <si>
    <t>PIG-589</t>
  </si>
  <si>
    <t>PIG-590</t>
  </si>
  <si>
    <t>PIG-591</t>
  </si>
  <si>
    <t>PIG-592</t>
  </si>
  <si>
    <t>PIG-593</t>
  </si>
  <si>
    <t>PIG-594</t>
  </si>
  <si>
    <t>PIG-599</t>
  </si>
  <si>
    <t>PIG-65</t>
  </si>
  <si>
    <t>PIG-66</t>
  </si>
  <si>
    <t>TAC-275081-4</t>
  </si>
  <si>
    <t>TAC-275081-7</t>
  </si>
  <si>
    <t>TCS-275003</t>
  </si>
  <si>
    <t>TCS-275004</t>
  </si>
  <si>
    <t>TCS-275005</t>
  </si>
  <si>
    <t>TCS-275006</t>
  </si>
  <si>
    <t>TCS-275007</t>
  </si>
  <si>
    <t>TCS-275008</t>
  </si>
  <si>
    <t>TCS-275073</t>
  </si>
  <si>
    <t>TCS-275074</t>
  </si>
  <si>
    <t>TCS-275118</t>
  </si>
  <si>
    <t>TCS-275126-1</t>
  </si>
  <si>
    <t>TCS-275126-2</t>
  </si>
  <si>
    <t>TCS-275268</t>
  </si>
  <si>
    <t>TCS-275276</t>
  </si>
  <si>
    <t>TCS-275462</t>
  </si>
  <si>
    <t>go</t>
  </si>
  <si>
    <t xml:space="preserve">no go </t>
  </si>
  <si>
    <t>Na</t>
  </si>
  <si>
    <t>Capability</t>
  </si>
  <si>
    <t>&lt; 10% - acceptable</t>
  </si>
  <si>
    <t>&lt; 30% - marginal</t>
  </si>
  <si>
    <t>&gt; 30% - unacceptable</t>
  </si>
  <si>
    <t>concentricity test</t>
  </si>
  <si>
    <t>overestimate</t>
  </si>
  <si>
    <t>underestimate</t>
  </si>
  <si>
    <t>Complex use</t>
  </si>
  <si>
    <t>Metrology / Production</t>
  </si>
  <si>
    <t>very sensitive (light)</t>
  </si>
  <si>
    <t>N°ID</t>
  </si>
  <si>
    <t>characeristic</t>
  </si>
  <si>
    <t>current</t>
  </si>
  <si>
    <t>eliotech</t>
  </si>
  <si>
    <t>velocity / torque</t>
  </si>
  <si>
    <t>palpeur</t>
  </si>
  <si>
    <t>concentricity</t>
  </si>
  <si>
    <t>integrity tester</t>
  </si>
  <si>
    <t>leak free</t>
  </si>
  <si>
    <t>air pressure</t>
  </si>
  <si>
    <t>dynamometer</t>
  </si>
  <si>
    <t xml:space="preserve"> opening force  box</t>
  </si>
  <si>
    <t>force</t>
  </si>
  <si>
    <t>see integrity tester</t>
  </si>
  <si>
    <t>manometer</t>
  </si>
  <si>
    <t>see eliotech</t>
  </si>
  <si>
    <t>gauge</t>
  </si>
  <si>
    <t>encliquetage</t>
  </si>
  <si>
    <t>dimension</t>
  </si>
  <si>
    <t>MC-275030</t>
  </si>
  <si>
    <t>? Voir gauge 275033 et 34</t>
  </si>
  <si>
    <t>diameter</t>
  </si>
  <si>
    <t>free passing (handpiece)</t>
  </si>
  <si>
    <t>handpiece functional testing</t>
  </si>
  <si>
    <t>go / no go</t>
  </si>
  <si>
    <t>Equipment drift</t>
  </si>
  <si>
    <t>business risk / patient risk</t>
  </si>
  <si>
    <t>business risk</t>
  </si>
  <si>
    <t>diameter / line</t>
  </si>
  <si>
    <t>complicated / moved / worn</t>
  </si>
  <si>
    <r>
      <rPr>
        <b/>
        <sz val="14"/>
        <rFont val="Calibri"/>
        <family val="2"/>
        <scheme val="minor"/>
      </rPr>
      <t>Equipment drift</t>
    </r>
    <r>
      <rPr>
        <sz val="14"/>
        <rFont val="Calibri"/>
        <family val="2"/>
        <scheme val="minor"/>
      </rPr>
      <t xml:space="preserve">
</t>
    </r>
    <r>
      <rPr>
        <u/>
        <sz val="14"/>
        <rFont val="Calibri"/>
        <family val="2"/>
        <scheme val="minor"/>
      </rPr>
      <t>orange: underestimation case</t>
    </r>
    <r>
      <rPr>
        <sz val="14"/>
        <rFont val="Calibri"/>
        <family val="2"/>
        <scheme val="minor"/>
      </rPr>
      <t xml:space="preserve">
accept a hight result / reject a good result
go/no go: good gauge becomes worn
</t>
    </r>
    <r>
      <rPr>
        <u/>
        <sz val="14"/>
        <rFont val="Calibri"/>
        <family val="2"/>
        <scheme val="minor"/>
      </rPr>
      <t>blue : overestimation case</t>
    </r>
    <r>
      <rPr>
        <sz val="14"/>
        <rFont val="Calibri"/>
        <family val="2"/>
        <scheme val="minor"/>
      </rPr>
      <t xml:space="preserve">
accept a low result / reject a good result</t>
    </r>
  </si>
  <si>
    <t>device</t>
  </si>
  <si>
    <t>power supply</t>
  </si>
  <si>
    <t>clipping</t>
  </si>
  <si>
    <t>TCS 275080-1</t>
  </si>
  <si>
    <t xml:space="preserve">rimmer </t>
  </si>
  <si>
    <t>oscilloting saw</t>
  </si>
  <si>
    <t>parallelisme</t>
  </si>
  <si>
    <t>Clothing Date/Visa</t>
  </si>
  <si>
    <t>New risk analysis and Conclusion</t>
  </si>
  <si>
    <t>Facteurs quantitatifs</t>
  </si>
  <si>
    <t>C2</t>
  </si>
  <si>
    <t>indice</t>
  </si>
  <si>
    <t>Capabilité du moyen de mesure: Uprocess / EMT</t>
  </si>
  <si>
    <t>C3</t>
  </si>
  <si>
    <t>Capabilité process : Tolérance pdt/Uprocessus</t>
  </si>
  <si>
    <t>C4</t>
  </si>
  <si>
    <t>Dérive de l'équipement : EMT/dérive</t>
  </si>
  <si>
    <t>Capabilité limité</t>
  </si>
  <si>
    <t>Cpk &lt; 1</t>
  </si>
  <si>
    <t>Critères</t>
  </si>
  <si>
    <t>Critères d'influences</t>
  </si>
  <si>
    <t>Capabilité correcte</t>
  </si>
  <si>
    <t>Cpk &lt; 1,3</t>
  </si>
  <si>
    <t>l'historique montre une dérive "classique" donc 0</t>
  </si>
  <si>
    <t>C1</t>
  </si>
  <si>
    <t>Conséquence d'une mauvaise mesure/process</t>
  </si>
  <si>
    <t>Capabilité largement suffisante</t>
  </si>
  <si>
    <t>Cpk &lt; 1,66</t>
  </si>
  <si>
    <t>Capabilité/capacité du moyen de contrôle</t>
  </si>
  <si>
    <t>Capabilité process (5M)</t>
  </si>
  <si>
    <t>Facteur qualitatifs</t>
  </si>
  <si>
    <t>Dérive de l'équipement</t>
  </si>
  <si>
    <t>Conséquence d'une mauvaise mesure</t>
  </si>
  <si>
    <t>C5</t>
  </si>
  <si>
    <t>Détection des anomalies</t>
  </si>
  <si>
    <t>C6</t>
  </si>
  <si>
    <t>Facteurs aggravants</t>
  </si>
  <si>
    <t>Conséquence grave</t>
  </si>
  <si>
    <t>impossible</t>
  </si>
  <si>
    <t>haute T°C, acide/base/force, etc</t>
  </si>
  <si>
    <t>Conséquence moyenne</t>
  </si>
  <si>
    <t>contrôle supplementaire</t>
  </si>
  <si>
    <t>C7</t>
  </si>
  <si>
    <t>Contrainte des couts</t>
  </si>
  <si>
    <t>Pas de conséquence</t>
  </si>
  <si>
    <t>par l'operateur</t>
  </si>
  <si>
    <t>RAS</t>
  </si>
  <si>
    <t>C8</t>
  </si>
  <si>
    <t>Contraintes opérationnelles</t>
  </si>
  <si>
    <t>C9</t>
  </si>
  <si>
    <t>intervention sur l'équipement</t>
  </si>
  <si>
    <t>Intervention sur l'équipement</t>
  </si>
  <si>
    <t>elevé</t>
  </si>
  <si>
    <t>competence externe</t>
  </si>
  <si>
    <t>annuelle</t>
  </si>
  <si>
    <t>competence interne</t>
  </si>
  <si>
    <t>reguliere</t>
  </si>
  <si>
    <t>peu cher</t>
  </si>
  <si>
    <t>simple d'utilisation</t>
  </si>
  <si>
    <t>a chaque demarage</t>
  </si>
  <si>
    <t>Parc d'équipements</t>
  </si>
  <si>
    <t>Critère C</t>
  </si>
  <si>
    <t>Famille / service</t>
  </si>
  <si>
    <t>NG</t>
  </si>
  <si>
    <t>Moyenne Famille</t>
  </si>
  <si>
    <t>Périodicité (en mois)</t>
  </si>
  <si>
    <t>my</t>
  </si>
  <si>
    <t>Ecart-type Famille</t>
  </si>
  <si>
    <t>Pact</t>
  </si>
  <si>
    <t>Pmoy</t>
  </si>
  <si>
    <t>Pmax</t>
  </si>
  <si>
    <t>OPPERET</t>
  </si>
  <si>
    <t>S</t>
  </si>
  <si>
    <t>NG globale</t>
  </si>
  <si>
    <t>heat gun</t>
  </si>
  <si>
    <t>295 XXX</t>
  </si>
  <si>
    <t>soldering</t>
  </si>
  <si>
    <r>
      <t>La méthode OPPERET pour l’optimisation des périodicités d’étalonnage est principalement encadrée en France par le fascicule de documentation </t>
    </r>
    <r>
      <rPr>
        <sz val="12"/>
        <color theme="1"/>
        <rFont val="Segoe UI"/>
        <family val="2"/>
      </rPr>
      <t>FD X07-014</t>
    </r>
    <r>
      <rPr>
        <sz val="12"/>
        <color theme="1"/>
        <rFont val="Segoe UI"/>
        <family val="2"/>
      </rPr>
      <t> intitulé "Métrologie – Optimisation des intervalles de confirmation métrologique des équipements de mesure", publié par l’AFNOR. Ce document propose des méthodes structurées, dont OPPERET, pour déterminer les intervalles d’étalonnage en fonction de critères de risque liés à la qualité, à la capabilité du processus et à l’usage des équipements.
La méthode OPPERET (OPtimisation des PERiodicités d’ETalonnage) est une approche méthodique et rationnelle dédiée à l’optimisation des fréquences d’étalonnage des instruments de mesure dans les entreprises. Fondée sur une analyse de risque, cette méthode prend en compte plusieurs critères liés à la qualité des mesures effectuées, tels que la gravité des conséquences d’erreurs de mesure, la capabilité des processus et des équipements, ainsi que des facteurs organisationnels et économiques. Contrairement à une simple observation des dérives des instruments, OPPERET intègre une évaluation globale du risque métrologique pour hiérarchiser les équipements selon leur criticité, permettant ainsi d’ajuster la périodicité d’étalonnage de façon adaptée au contexte industriel. Cette démarche collaborative fait intervenir tous les acteurs concernés par la mesure, afin de définir des critères pondérés pour une gestion optimisée des ressources métrologiques, tout en minimisant les coûts d’étalonnage. La méthode OPPERET constitue ainsi un outil puissant pour sécuriser les décisions de mesure en maîtrisant les risques associés, tout en améliorant la performance économique des contrôles métrologiques.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</si>
</sst>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fr.&quot;\ #,##0.00;[Red]&quot;fr.&quot;\ \-#,##0.00"/>
  </numFmts>
  <fonts count="16" x14ac:knownFonts="1">
    <font>
      <sz val="11"/>
      <color theme="1"/>
      <name val="Calibri"/>
      <family val="2"/>
      <scheme val="minor"/>
    </font>
    <font>
      <b/>
      <sz val="11"/>
      <color theme="1"/>
      <name val="Calibri"/>
      <family val="2"/>
      <scheme val="minor"/>
    </font>
    <font>
      <sz val="14"/>
      <color theme="1"/>
      <name val="Calibri"/>
      <family val="2"/>
      <scheme val="minor"/>
    </font>
    <font>
      <u/>
      <sz val="14"/>
      <color theme="1"/>
      <name val="Calibri"/>
      <family val="2"/>
      <scheme val="minor"/>
    </font>
    <font>
      <sz val="14"/>
      <name val="Calibri"/>
      <family val="2"/>
      <scheme val="minor"/>
    </font>
    <font>
      <b/>
      <sz val="11"/>
      <color rgb="FF000000"/>
      <name val="Calibri"/>
      <family val="2"/>
      <scheme val="minor"/>
    </font>
    <font>
      <sz val="14"/>
      <color theme="0"/>
      <name val="Calibri"/>
      <family val="2"/>
      <scheme val="minor"/>
    </font>
    <font>
      <b/>
      <sz val="14"/>
      <color theme="1"/>
      <name val="Calibri"/>
      <family val="2"/>
      <scheme val="minor"/>
    </font>
    <font>
      <u/>
      <sz val="14"/>
      <name val="Calibri"/>
      <family val="2"/>
      <scheme val="minor"/>
    </font>
    <font>
      <b/>
      <sz val="14"/>
      <name val="Calibri"/>
      <family val="2"/>
      <scheme val="minor"/>
    </font>
    <font>
      <sz val="11"/>
      <color rgb="FFFF0000"/>
      <name val="Calibri"/>
      <family val="2"/>
      <scheme val="minor"/>
    </font>
    <font>
      <sz val="11"/>
      <color theme="0"/>
      <name val="Calibri"/>
      <family val="2"/>
      <scheme val="minor"/>
    </font>
    <font>
      <sz val="11"/>
      <name val="Calibri"/>
      <family val="2"/>
      <scheme val="minor"/>
    </font>
    <font>
      <b/>
      <sz val="11"/>
      <name val="Calibri"/>
      <family val="2"/>
      <scheme val="minor"/>
    </font>
    <font>
      <sz val="12"/>
      <color theme="1"/>
      <name val="Segoe UI"/>
      <family val="2"/>
    </font>
    <font>
      <sz val="12"/>
      <color theme="1"/>
      <name val="Segoe UI"/>
      <family val="2"/>
    </font>
  </fonts>
  <fills count="18">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FF5050"/>
        <bgColor indexed="64"/>
      </patternFill>
    </fill>
    <fill>
      <patternFill patternType="solid">
        <fgColor theme="7" tint="0.79998168889431442"/>
        <bgColor indexed="64"/>
      </patternFill>
    </fill>
    <fill>
      <patternFill patternType="solid">
        <fgColor theme="9"/>
        <bgColor indexed="64"/>
      </patternFill>
    </fill>
    <fill>
      <patternFill patternType="solid">
        <fgColor theme="8" tint="0.59999389629810485"/>
        <bgColor indexed="64"/>
      </patternFill>
    </fill>
    <fill>
      <patternFill patternType="solid">
        <fgColor theme="6"/>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diagonalUp="1">
      <left style="thin">
        <color indexed="64"/>
      </left>
      <right style="thin">
        <color indexed="64"/>
      </right>
      <top style="thin">
        <color indexed="64"/>
      </top>
      <bottom/>
      <diagonal style="medium">
        <color indexed="64"/>
      </diagonal>
    </border>
    <border>
      <left/>
      <right style="thin">
        <color indexed="64"/>
      </right>
      <top/>
      <bottom/>
      <diagonal/>
    </border>
    <border>
      <left style="thin">
        <color indexed="64"/>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9">
    <xf numFmtId="0" fontId="0" fillId="0" borderId="0" xfId="0"/>
    <xf numFmtId="0" fontId="2" fillId="0" borderId="0" xfId="0" applyFont="1"/>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0" xfId="0" applyFont="1" applyAlignment="1">
      <alignment wrapText="1"/>
    </xf>
    <xf numFmtId="0" fontId="2" fillId="0" borderId="0" xfId="0" applyFont="1" applyBorder="1" applyAlignment="1">
      <alignment wrapText="1"/>
    </xf>
    <xf numFmtId="0" fontId="2" fillId="0" borderId="6" xfId="0" applyFont="1" applyBorder="1" applyAlignment="1">
      <alignment horizontal="center" vertical="center" wrapText="1"/>
    </xf>
    <xf numFmtId="0" fontId="2" fillId="2" borderId="6" xfId="0" applyFont="1" applyFill="1" applyBorder="1" applyAlignment="1">
      <alignment horizontal="center" vertical="center" wrapText="1"/>
    </xf>
    <xf numFmtId="17" fontId="2" fillId="2" borderId="6"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9"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10" borderId="1" xfId="0" applyFont="1" applyFill="1" applyBorder="1" applyAlignment="1">
      <alignment horizontal="center" vertical="center"/>
    </xf>
    <xf numFmtId="164" fontId="1" fillId="9" borderId="1" xfId="0" applyNumberFormat="1" applyFont="1" applyFill="1" applyBorder="1" applyAlignment="1">
      <alignment horizontal="center" vertical="center"/>
    </xf>
    <xf numFmtId="0" fontId="2" fillId="0" borderId="6" xfId="0" applyFont="1" applyFill="1" applyBorder="1" applyAlignment="1">
      <alignment horizontal="center" vertical="center" wrapText="1"/>
    </xf>
    <xf numFmtId="0" fontId="2" fillId="8" borderId="17" xfId="0" applyFont="1" applyFill="1" applyBorder="1" applyAlignment="1">
      <alignment horizontal="center" textRotation="45" wrapText="1"/>
    </xf>
    <xf numFmtId="0" fontId="2" fillId="0"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6" fillId="0" borderId="0" xfId="0" applyFont="1" applyAlignment="1">
      <alignment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8" xfId="0" applyFont="1" applyBorder="1" applyAlignment="1">
      <alignment wrapText="1"/>
    </xf>
    <xf numFmtId="0" fontId="2" fillId="11" borderId="1" xfId="0" applyFont="1" applyFill="1" applyBorder="1" applyAlignment="1">
      <alignment horizontal="center" wrapText="1"/>
    </xf>
    <xf numFmtId="0" fontId="2" fillId="0" borderId="1" xfId="0" applyFont="1" applyBorder="1" applyAlignment="1">
      <alignment horizontal="center" vertical="center" wrapText="1"/>
    </xf>
    <xf numFmtId="0" fontId="2" fillId="2" borderId="1" xfId="0" applyFont="1" applyFill="1" applyBorder="1" applyAlignment="1">
      <alignment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5" xfId="0" applyFont="1" applyFill="1" applyBorder="1" applyAlignment="1">
      <alignment vertical="center" wrapText="1"/>
    </xf>
    <xf numFmtId="0" fontId="1" fillId="9" borderId="12" xfId="0" applyFont="1" applyFill="1" applyBorder="1" applyAlignment="1">
      <alignment horizontal="center" vertical="center"/>
    </xf>
    <xf numFmtId="0" fontId="2" fillId="0" borderId="12" xfId="0" applyFont="1" applyFill="1" applyBorder="1" applyAlignment="1">
      <alignment horizontal="center" vertical="center" wrapText="1"/>
    </xf>
    <xf numFmtId="0" fontId="1" fillId="7" borderId="1" xfId="0" applyFont="1" applyFill="1" applyBorder="1" applyAlignment="1">
      <alignment horizontal="center" vertical="center"/>
    </xf>
    <xf numFmtId="0" fontId="2" fillId="0" borderId="16" xfId="0" applyFont="1" applyBorder="1" applyAlignment="1">
      <alignment wrapText="1"/>
    </xf>
    <xf numFmtId="0" fontId="2" fillId="0" borderId="6" xfId="0" applyFont="1" applyBorder="1" applyAlignment="1">
      <alignment wrapText="1"/>
    </xf>
    <xf numFmtId="0" fontId="2" fillId="12" borderId="1" xfId="0" applyFont="1" applyFill="1" applyBorder="1" applyAlignment="1">
      <alignment horizontal="center" wrapText="1"/>
    </xf>
    <xf numFmtId="0" fontId="2" fillId="2" borderId="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0" xfId="0" applyFont="1" applyAlignment="1">
      <alignment horizontal="center"/>
    </xf>
    <xf numFmtId="0" fontId="12" fillId="0" borderId="0" xfId="0" applyFont="1"/>
    <xf numFmtId="0" fontId="12" fillId="0" borderId="0" xfId="0" applyFont="1" applyAlignment="1">
      <alignment horizontal="right"/>
    </xf>
    <xf numFmtId="0" fontId="12" fillId="0" borderId="6" xfId="0" applyFont="1" applyBorder="1" applyAlignment="1">
      <alignment horizontal="center"/>
    </xf>
    <xf numFmtId="0" fontId="12" fillId="0" borderId="1" xfId="0" applyFont="1" applyBorder="1" applyAlignment="1">
      <alignment horizontal="center"/>
    </xf>
    <xf numFmtId="0" fontId="12" fillId="15" borderId="1" xfId="0" applyFont="1" applyFill="1" applyBorder="1" applyAlignment="1">
      <alignment horizontal="center"/>
    </xf>
    <xf numFmtId="0" fontId="12" fillId="0" borderId="0" xfId="0" applyFont="1" applyAlignment="1">
      <alignment horizontal="center"/>
    </xf>
    <xf numFmtId="0" fontId="10" fillId="0" borderId="0" xfId="0" applyFont="1"/>
    <xf numFmtId="0" fontId="12" fillId="0" borderId="12" xfId="0" applyFont="1" applyBorder="1" applyAlignment="1">
      <alignment horizontal="center"/>
    </xf>
    <xf numFmtId="0" fontId="11" fillId="0" borderId="0" xfId="0" applyFont="1"/>
    <xf numFmtId="0" fontId="11" fillId="0" borderId="0" xfId="0" applyFont="1" applyAlignment="1">
      <alignment horizontal="center"/>
    </xf>
    <xf numFmtId="2" fontId="12" fillId="0" borderId="1" xfId="0" applyNumberFormat="1" applyFont="1" applyBorder="1" applyAlignment="1">
      <alignment horizontal="center"/>
    </xf>
    <xf numFmtId="0" fontId="11" fillId="0" borderId="0" xfId="0" applyFont="1" applyAlignment="1">
      <alignment horizontal="right"/>
    </xf>
    <xf numFmtId="2" fontId="11" fillId="0" borderId="0" xfId="0" applyNumberFormat="1" applyFont="1" applyAlignment="1">
      <alignment horizontal="center"/>
    </xf>
    <xf numFmtId="2" fontId="12" fillId="16" borderId="1" xfId="0" applyNumberFormat="1" applyFont="1" applyFill="1" applyBorder="1" applyAlignment="1">
      <alignment horizontal="center"/>
    </xf>
    <xf numFmtId="0" fontId="13" fillId="17" borderId="1" xfId="0" applyFont="1" applyFill="1" applyBorder="1" applyAlignment="1">
      <alignment horizontal="center"/>
    </xf>
    <xf numFmtId="0" fontId="11" fillId="0" borderId="0" xfId="0" applyFont="1" applyAlignment="1">
      <alignment horizontal="center" vertical="center"/>
    </xf>
    <xf numFmtId="0" fontId="12" fillId="0" borderId="12" xfId="0" applyFont="1" applyBorder="1" applyAlignment="1">
      <alignment vertical="center"/>
    </xf>
    <xf numFmtId="0" fontId="12" fillId="4" borderId="1" xfId="0" applyFont="1" applyFill="1" applyBorder="1" applyAlignment="1">
      <alignment horizontal="center"/>
    </xf>
    <xf numFmtId="0" fontId="12" fillId="13" borderId="1" xfId="0" applyFont="1" applyFill="1" applyBorder="1" applyAlignment="1">
      <alignment horizontal="center"/>
    </xf>
    <xf numFmtId="0" fontId="12" fillId="13" borderId="3" xfId="0" applyFont="1" applyFill="1" applyBorder="1" applyAlignment="1">
      <alignment horizontal="center"/>
    </xf>
    <xf numFmtId="1" fontId="12" fillId="0" borderId="1" xfId="0" applyNumberFormat="1" applyFont="1" applyBorder="1" applyAlignment="1">
      <alignment horizontal="center"/>
    </xf>
    <xf numFmtId="1" fontId="13" fillId="17" borderId="1" xfId="0" applyNumberFormat="1" applyFont="1" applyFill="1" applyBorder="1" applyAlignment="1">
      <alignment horizontal="center"/>
    </xf>
    <xf numFmtId="2" fontId="11" fillId="0" borderId="0" xfId="0" applyNumberFormat="1" applyFont="1" applyAlignment="1">
      <alignment horizontal="center" vertical="center"/>
    </xf>
    <xf numFmtId="0" fontId="12" fillId="0" borderId="16" xfId="0" applyFont="1" applyBorder="1" applyAlignment="1">
      <alignment vertical="center"/>
    </xf>
    <xf numFmtId="0" fontId="12" fillId="0" borderId="6" xfId="0" applyFont="1" applyBorder="1" applyAlignment="1">
      <alignment vertical="center"/>
    </xf>
    <xf numFmtId="2" fontId="10" fillId="0" borderId="0" xfId="0" applyNumberFormat="1" applyFont="1" applyAlignment="1">
      <alignment horizontal="center"/>
    </xf>
    <xf numFmtId="2" fontId="10" fillId="0" borderId="0" xfId="0" applyNumberFormat="1" applyFont="1" applyAlignment="1">
      <alignment horizontal="center" vertical="center"/>
    </xf>
    <xf numFmtId="0" fontId="13" fillId="14" borderId="3" xfId="0" applyFont="1" applyFill="1" applyBorder="1" applyAlignment="1">
      <alignment horizontal="center"/>
    </xf>
    <xf numFmtId="0" fontId="13" fillId="14" borderId="7" xfId="0" applyFont="1" applyFill="1" applyBorder="1" applyAlignment="1">
      <alignment horizontal="center"/>
    </xf>
    <xf numFmtId="0" fontId="13" fillId="14" borderId="4" xfId="0" applyFont="1" applyFill="1" applyBorder="1" applyAlignment="1">
      <alignment horizontal="center"/>
    </xf>
    <xf numFmtId="0" fontId="12" fillId="12" borderId="10" xfId="0" applyFont="1" applyFill="1" applyBorder="1" applyAlignment="1">
      <alignment horizontal="center"/>
    </xf>
    <xf numFmtId="0" fontId="12" fillId="12" borderId="11" xfId="0" applyFont="1" applyFill="1" applyBorder="1" applyAlignment="1">
      <alignment horizontal="center"/>
    </xf>
    <xf numFmtId="0" fontId="12" fillId="12" borderId="5" xfId="0" applyFont="1" applyFill="1" applyBorder="1" applyAlignment="1">
      <alignment horizontal="center"/>
    </xf>
    <xf numFmtId="0" fontId="12" fillId="12" borderId="3" xfId="0" applyFont="1" applyFill="1" applyBorder="1" applyAlignment="1">
      <alignment horizontal="center"/>
    </xf>
    <xf numFmtId="0" fontId="12" fillId="12" borderId="7" xfId="0" applyFont="1" applyFill="1" applyBorder="1" applyAlignment="1">
      <alignment horizontal="center"/>
    </xf>
    <xf numFmtId="0" fontId="12" fillId="12" borderId="4" xfId="0" applyFont="1" applyFill="1" applyBorder="1" applyAlignment="1">
      <alignment horizontal="center"/>
    </xf>
    <xf numFmtId="0" fontId="12" fillId="0" borderId="1" xfId="0" applyFont="1" applyBorder="1" applyAlignment="1">
      <alignment horizontal="center"/>
    </xf>
    <xf numFmtId="0" fontId="12" fillId="15" borderId="3" xfId="0" applyFont="1" applyFill="1" applyBorder="1" applyAlignment="1">
      <alignment horizontal="center"/>
    </xf>
    <xf numFmtId="0" fontId="12" fillId="15" borderId="7" xfId="0" applyFont="1" applyFill="1" applyBorder="1" applyAlignment="1">
      <alignment horizontal="center"/>
    </xf>
    <xf numFmtId="0" fontId="12" fillId="15" borderId="4" xfId="0" applyFont="1" applyFill="1" applyBorder="1" applyAlignment="1">
      <alignment horizontal="center"/>
    </xf>
    <xf numFmtId="0" fontId="12" fillId="0" borderId="3" xfId="0" applyFont="1" applyBorder="1" applyAlignment="1">
      <alignment horizontal="center"/>
    </xf>
    <xf numFmtId="0" fontId="12" fillId="0" borderId="7" xfId="0" applyFont="1" applyBorder="1" applyAlignment="1">
      <alignment horizontal="center"/>
    </xf>
    <xf numFmtId="0" fontId="12" fillId="0" borderId="4" xfId="0" applyFont="1" applyBorder="1" applyAlignment="1">
      <alignment horizontal="center"/>
    </xf>
    <xf numFmtId="0" fontId="13" fillId="11" borderId="3" xfId="0" applyFont="1" applyFill="1" applyBorder="1" applyAlignment="1">
      <alignment horizontal="center"/>
    </xf>
    <xf numFmtId="0" fontId="13" fillId="11" borderId="7" xfId="0" applyFont="1" applyFill="1" applyBorder="1" applyAlignment="1">
      <alignment horizontal="center"/>
    </xf>
    <xf numFmtId="0" fontId="13" fillId="11" borderId="4" xfId="0" applyFont="1" applyFill="1" applyBorder="1" applyAlignment="1">
      <alignment horizontal="center"/>
    </xf>
    <xf numFmtId="0" fontId="12" fillId="3" borderId="1" xfId="0" applyFont="1" applyFill="1" applyBorder="1" applyAlignment="1">
      <alignment horizontal="center"/>
    </xf>
    <xf numFmtId="0" fontId="12" fillId="3" borderId="3" xfId="0" applyFont="1" applyFill="1" applyBorder="1" applyAlignment="1">
      <alignment horizontal="center"/>
    </xf>
    <xf numFmtId="0" fontId="12" fillId="3" borderId="7" xfId="0" applyFont="1" applyFill="1" applyBorder="1" applyAlignment="1">
      <alignment horizontal="center"/>
    </xf>
    <xf numFmtId="0" fontId="12" fillId="3" borderId="4" xfId="0" applyFont="1" applyFill="1" applyBorder="1" applyAlignment="1">
      <alignment horizontal="center"/>
    </xf>
    <xf numFmtId="0" fontId="12" fillId="4" borderId="3" xfId="0" applyFont="1" applyFill="1" applyBorder="1" applyAlignment="1">
      <alignment horizontal="center"/>
    </xf>
    <xf numFmtId="0" fontId="12" fillId="4" borderId="4" xfId="0" applyFont="1" applyFill="1" applyBorder="1" applyAlignment="1">
      <alignment horizontal="center"/>
    </xf>
    <xf numFmtId="0" fontId="12" fillId="0" borderId="1" xfId="0" applyFont="1" applyBorder="1" applyAlignment="1">
      <alignment horizontal="center" vertical="center"/>
    </xf>
    <xf numFmtId="0" fontId="12" fillId="0" borderId="12" xfId="0" applyFont="1" applyBorder="1" applyAlignment="1">
      <alignment horizontal="center" vertical="center"/>
    </xf>
    <xf numFmtId="0" fontId="12" fillId="0" borderId="16" xfId="0" applyFont="1" applyBorder="1" applyAlignment="1">
      <alignment horizontal="center" vertical="center"/>
    </xf>
    <xf numFmtId="0" fontId="12" fillId="0" borderId="6" xfId="0" applyFont="1" applyBorder="1" applyAlignment="1">
      <alignment horizontal="center" vertical="center"/>
    </xf>
    <xf numFmtId="0" fontId="2" fillId="0" borderId="1" xfId="0" applyFont="1" applyBorder="1" applyAlignment="1">
      <alignment horizontal="center"/>
    </xf>
    <xf numFmtId="0" fontId="2" fillId="5" borderId="1" xfId="0" applyFont="1" applyFill="1" applyBorder="1" applyAlignment="1">
      <alignment horizontal="center" vertical="center" wrapText="1"/>
    </xf>
    <xf numFmtId="0" fontId="2" fillId="3" borderId="1" xfId="0" applyFont="1" applyFill="1" applyBorder="1" applyAlignment="1">
      <alignment horizont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9" borderId="12" xfId="0" applyFont="1" applyFill="1" applyBorder="1" applyAlignment="1">
      <alignment horizontal="center" vertical="center"/>
    </xf>
    <xf numFmtId="0" fontId="1" fillId="9" borderId="6" xfId="0" applyFont="1" applyFill="1" applyBorder="1" applyAlignment="1">
      <alignment horizontal="center" vertical="center"/>
    </xf>
    <xf numFmtId="0" fontId="2" fillId="2" borderId="1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7" fillId="8" borderId="12" xfId="0" applyFont="1" applyFill="1" applyBorder="1" applyAlignment="1">
      <alignment horizontal="center" vertical="top" textRotation="90" wrapText="1"/>
    </xf>
    <xf numFmtId="0" fontId="7" fillId="8" borderId="16" xfId="0" applyFont="1" applyFill="1" applyBorder="1" applyAlignment="1">
      <alignment horizontal="center" vertical="top" textRotation="90" wrapText="1"/>
    </xf>
    <xf numFmtId="0" fontId="7" fillId="8" borderId="6" xfId="0" applyFont="1" applyFill="1" applyBorder="1" applyAlignment="1">
      <alignment horizontal="center" vertical="top" textRotation="90" wrapText="1"/>
    </xf>
    <xf numFmtId="0" fontId="2" fillId="2" borderId="10"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4" fillId="2" borderId="8"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9" xfId="0" applyFont="1" applyFill="1" applyBorder="1" applyAlignment="1">
      <alignment horizontal="left" vertical="top" wrapText="1"/>
    </xf>
    <xf numFmtId="0" fontId="4" fillId="2" borderId="0" xfId="0" applyFont="1" applyFill="1" applyBorder="1" applyAlignment="1">
      <alignment horizontal="left" vertical="top" wrapText="1"/>
    </xf>
    <xf numFmtId="0" fontId="4" fillId="2" borderId="18"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4" fillId="2" borderId="5" xfId="0" applyFont="1" applyFill="1" applyBorder="1" applyAlignment="1">
      <alignment horizontal="left" vertical="top"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5" xfId="0" applyFont="1" applyBorder="1" applyAlignment="1">
      <alignment horizontal="center" vertical="center" wrapText="1"/>
    </xf>
    <xf numFmtId="0" fontId="14" fillId="0" borderId="13" xfId="0" applyFont="1" applyBorder="1" applyAlignment="1">
      <alignment horizontal="left" vertical="top" wrapText="1"/>
    </xf>
    <xf numFmtId="0" fontId="14" fillId="0" borderId="14" xfId="0" applyFont="1" applyBorder="1" applyAlignment="1">
      <alignment horizontal="left" vertical="top" wrapText="1"/>
    </xf>
    <xf numFmtId="0" fontId="14" fillId="0" borderId="15" xfId="0" applyFont="1" applyBorder="1" applyAlignment="1">
      <alignment horizontal="left" vertical="top" wrapText="1"/>
    </xf>
    <xf numFmtId="0" fontId="14" fillId="0" borderId="20" xfId="0" applyFont="1" applyBorder="1" applyAlignment="1">
      <alignment horizontal="left" vertical="top" wrapText="1"/>
    </xf>
    <xf numFmtId="0" fontId="14" fillId="0" borderId="0" xfId="0" applyFont="1" applyBorder="1" applyAlignment="1">
      <alignment horizontal="left" vertical="top" wrapText="1"/>
    </xf>
    <xf numFmtId="0" fontId="14" fillId="0" borderId="21" xfId="0" applyFont="1" applyBorder="1" applyAlignment="1">
      <alignment horizontal="left" vertical="top" wrapText="1"/>
    </xf>
    <xf numFmtId="0" fontId="14" fillId="0" borderId="22" xfId="0" applyFont="1" applyBorder="1" applyAlignment="1">
      <alignment horizontal="left" vertical="top" wrapText="1"/>
    </xf>
    <xf numFmtId="0" fontId="14" fillId="0" borderId="23" xfId="0" applyFont="1" applyBorder="1" applyAlignment="1">
      <alignment horizontal="left" vertical="top" wrapText="1"/>
    </xf>
    <xf numFmtId="0" fontId="14" fillId="0" borderId="24" xfId="0" applyFont="1" applyBorder="1" applyAlignment="1">
      <alignment horizontal="left" vertical="top" wrapText="1"/>
    </xf>
  </cellXfs>
  <cellStyles count="1">
    <cellStyle name="Normal" xfId="0" builtinId="0"/>
  </cellStyles>
  <dxfs count="6">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16</xdr:col>
      <xdr:colOff>503463</xdr:colOff>
      <xdr:row>33</xdr:row>
      <xdr:rowOff>1</xdr:rowOff>
    </xdr:from>
    <xdr:to>
      <xdr:col>24</xdr:col>
      <xdr:colOff>707572</xdr:colOff>
      <xdr:row>51</xdr:row>
      <xdr:rowOff>56769</xdr:rowOff>
    </xdr:to>
    <xdr:pic>
      <xdr:nvPicPr>
        <xdr:cNvPr id="2" name="Image 1">
          <a:extLst>
            <a:ext uri="{FF2B5EF4-FFF2-40B4-BE49-F238E27FC236}">
              <a16:creationId xmlns:a16="http://schemas.microsoft.com/office/drawing/2014/main" id="{1A9004AA-E2F4-4A3F-B959-FF2876E6E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16200000">
          <a:off x="14197884" y="5029009"/>
          <a:ext cx="3485768" cy="6381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31228</xdr:colOff>
      <xdr:row>1</xdr:row>
      <xdr:rowOff>229912</xdr:rowOff>
    </xdr:from>
    <xdr:to>
      <xdr:col>23</xdr:col>
      <xdr:colOff>13606</xdr:colOff>
      <xdr:row>3</xdr:row>
      <xdr:rowOff>6567</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rot="10800000">
          <a:off x="17747728" y="1087162"/>
          <a:ext cx="6622664" cy="497834"/>
        </a:xfrm>
        <a:prstGeom prst="rect">
          <a:avLst/>
        </a:prstGeom>
        <a:gradFill flip="none" rotWithShape="0">
          <a:gsLst>
            <a:gs pos="0">
              <a:srgbClr val="00B050"/>
            </a:gs>
            <a:gs pos="30000">
              <a:srgbClr val="92D050"/>
            </a:gs>
            <a:gs pos="64999">
              <a:srgbClr val="FFFF00"/>
            </a:gs>
            <a:gs pos="89999">
              <a:srgbClr val="FFC000"/>
            </a:gs>
            <a:gs pos="100000">
              <a:srgbClr val="FF0000"/>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173185</xdr:colOff>
      <xdr:row>3</xdr:row>
      <xdr:rowOff>484909</xdr:rowOff>
    </xdr:from>
    <xdr:to>
      <xdr:col>4</xdr:col>
      <xdr:colOff>1402772</xdr:colOff>
      <xdr:row>3</xdr:row>
      <xdr:rowOff>484909</xdr:rowOff>
    </xdr:to>
    <xdr:cxnSp macro="">
      <xdr:nvCxnSpPr>
        <xdr:cNvPr id="4" name="Connecteur droit 3">
          <a:extLst>
            <a:ext uri="{FF2B5EF4-FFF2-40B4-BE49-F238E27FC236}">
              <a16:creationId xmlns:a16="http://schemas.microsoft.com/office/drawing/2014/main" id="{00000000-0008-0000-0000-000004000000}"/>
            </a:ext>
          </a:extLst>
        </xdr:cNvPr>
        <xdr:cNvCxnSpPr/>
      </xdr:nvCxnSpPr>
      <xdr:spPr>
        <a:xfrm>
          <a:off x="5368640" y="2078182"/>
          <a:ext cx="1229587" cy="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190502</xdr:colOff>
      <xdr:row>4</xdr:row>
      <xdr:rowOff>86591</xdr:rowOff>
    </xdr:from>
    <xdr:to>
      <xdr:col>4</xdr:col>
      <xdr:colOff>1368136</xdr:colOff>
      <xdr:row>4</xdr:row>
      <xdr:rowOff>103909</xdr:rowOff>
    </xdr:to>
    <xdr:cxnSp macro="">
      <xdr:nvCxnSpPr>
        <xdr:cNvPr id="6" name="Connecteur droit 5">
          <a:extLst>
            <a:ext uri="{FF2B5EF4-FFF2-40B4-BE49-F238E27FC236}">
              <a16:creationId xmlns:a16="http://schemas.microsoft.com/office/drawing/2014/main" id="{00000000-0008-0000-0000-000006000000}"/>
            </a:ext>
          </a:extLst>
        </xdr:cNvPr>
        <xdr:cNvCxnSpPr/>
      </xdr:nvCxnSpPr>
      <xdr:spPr>
        <a:xfrm>
          <a:off x="5385957" y="2389909"/>
          <a:ext cx="1177634" cy="173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571504</xdr:colOff>
      <xdr:row>3</xdr:row>
      <xdr:rowOff>588818</xdr:rowOff>
    </xdr:from>
    <xdr:to>
      <xdr:col>4</xdr:col>
      <xdr:colOff>935186</xdr:colOff>
      <xdr:row>4</xdr:row>
      <xdr:rowOff>259773</xdr:rowOff>
    </xdr:to>
    <xdr:sp macro="" textlink="">
      <xdr:nvSpPr>
        <xdr:cNvPr id="7" name="Croix 6">
          <a:extLst>
            <a:ext uri="{FF2B5EF4-FFF2-40B4-BE49-F238E27FC236}">
              <a16:creationId xmlns:a16="http://schemas.microsoft.com/office/drawing/2014/main" id="{00000000-0008-0000-0000-000007000000}"/>
            </a:ext>
          </a:extLst>
        </xdr:cNvPr>
        <xdr:cNvSpPr/>
      </xdr:nvSpPr>
      <xdr:spPr>
        <a:xfrm>
          <a:off x="5766959" y="2182091"/>
          <a:ext cx="363682" cy="381000"/>
        </a:xfrm>
        <a:prstGeom prst="plus">
          <a:avLst>
            <a:gd name="adj" fmla="val 4364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585358</xdr:colOff>
      <xdr:row>3</xdr:row>
      <xdr:rowOff>38965</xdr:rowOff>
    </xdr:from>
    <xdr:to>
      <xdr:col>4</xdr:col>
      <xdr:colOff>949040</xdr:colOff>
      <xdr:row>3</xdr:row>
      <xdr:rowOff>429490</xdr:rowOff>
    </xdr:to>
    <xdr:sp macro="" textlink="">
      <xdr:nvSpPr>
        <xdr:cNvPr id="8" name="Croix 7">
          <a:extLst>
            <a:ext uri="{FF2B5EF4-FFF2-40B4-BE49-F238E27FC236}">
              <a16:creationId xmlns:a16="http://schemas.microsoft.com/office/drawing/2014/main" id="{00000000-0008-0000-0000-000008000000}"/>
            </a:ext>
          </a:extLst>
        </xdr:cNvPr>
        <xdr:cNvSpPr/>
      </xdr:nvSpPr>
      <xdr:spPr>
        <a:xfrm>
          <a:off x="5780813" y="1632238"/>
          <a:ext cx="363682" cy="390525"/>
        </a:xfrm>
        <a:prstGeom prst="plus">
          <a:avLst>
            <a:gd name="adj" fmla="val 43644"/>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560248</xdr:colOff>
      <xdr:row>4</xdr:row>
      <xdr:rowOff>437284</xdr:rowOff>
    </xdr:from>
    <xdr:to>
      <xdr:col>4</xdr:col>
      <xdr:colOff>923930</xdr:colOff>
      <xdr:row>5</xdr:row>
      <xdr:rowOff>361950</xdr:rowOff>
    </xdr:to>
    <xdr:sp macro="" textlink="">
      <xdr:nvSpPr>
        <xdr:cNvPr id="10" name="Croix 9">
          <a:extLst>
            <a:ext uri="{FF2B5EF4-FFF2-40B4-BE49-F238E27FC236}">
              <a16:creationId xmlns:a16="http://schemas.microsoft.com/office/drawing/2014/main" id="{00000000-0008-0000-0000-00000A000000}"/>
            </a:ext>
          </a:extLst>
        </xdr:cNvPr>
        <xdr:cNvSpPr/>
      </xdr:nvSpPr>
      <xdr:spPr>
        <a:xfrm>
          <a:off x="5751373" y="2723284"/>
          <a:ext cx="363682" cy="400916"/>
        </a:xfrm>
        <a:prstGeom prst="plus">
          <a:avLst>
            <a:gd name="adj" fmla="val 43644"/>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1148200</xdr:colOff>
      <xdr:row>3</xdr:row>
      <xdr:rowOff>133348</xdr:rowOff>
    </xdr:from>
    <xdr:to>
      <xdr:col>4</xdr:col>
      <xdr:colOff>1529200</xdr:colOff>
      <xdr:row>4</xdr:row>
      <xdr:rowOff>133348</xdr:rowOff>
    </xdr:to>
    <xdr:sp macro="" textlink="">
      <xdr:nvSpPr>
        <xdr:cNvPr id="14" name="Flèche courbée vers le haut 13">
          <a:extLst>
            <a:ext uri="{FF2B5EF4-FFF2-40B4-BE49-F238E27FC236}">
              <a16:creationId xmlns:a16="http://schemas.microsoft.com/office/drawing/2014/main" id="{00000000-0008-0000-0000-00000E000000}"/>
            </a:ext>
          </a:extLst>
        </xdr:cNvPr>
        <xdr:cNvSpPr/>
      </xdr:nvSpPr>
      <xdr:spPr>
        <a:xfrm rot="16200000">
          <a:off x="6172637" y="1871661"/>
          <a:ext cx="714375" cy="381000"/>
        </a:xfrm>
        <a:prstGeom prst="curved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1113566</xdr:colOff>
      <xdr:row>3</xdr:row>
      <xdr:rowOff>697920</xdr:rowOff>
    </xdr:from>
    <xdr:to>
      <xdr:col>4</xdr:col>
      <xdr:colOff>1494566</xdr:colOff>
      <xdr:row>5</xdr:row>
      <xdr:rowOff>213011</xdr:rowOff>
    </xdr:to>
    <xdr:sp macro="" textlink="">
      <xdr:nvSpPr>
        <xdr:cNvPr id="15" name="Flèche courbée vers le haut 14">
          <a:extLst>
            <a:ext uri="{FF2B5EF4-FFF2-40B4-BE49-F238E27FC236}">
              <a16:creationId xmlns:a16="http://schemas.microsoft.com/office/drawing/2014/main" id="{00000000-0008-0000-0000-00000F000000}"/>
            </a:ext>
          </a:extLst>
        </xdr:cNvPr>
        <xdr:cNvSpPr/>
      </xdr:nvSpPr>
      <xdr:spPr>
        <a:xfrm rot="16200000">
          <a:off x="6144498" y="2455716"/>
          <a:ext cx="710045" cy="381000"/>
        </a:xfrm>
        <a:prstGeom prst="curved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32910</xdr:colOff>
      <xdr:row>4</xdr:row>
      <xdr:rowOff>32905</xdr:rowOff>
    </xdr:from>
    <xdr:to>
      <xdr:col>4</xdr:col>
      <xdr:colOff>413910</xdr:colOff>
      <xdr:row>5</xdr:row>
      <xdr:rowOff>258041</xdr:rowOff>
    </xdr:to>
    <xdr:sp macro="" textlink="">
      <xdr:nvSpPr>
        <xdr:cNvPr id="17" name="Flèche courbée vers le haut 16">
          <a:extLst>
            <a:ext uri="{FF2B5EF4-FFF2-40B4-BE49-F238E27FC236}">
              <a16:creationId xmlns:a16="http://schemas.microsoft.com/office/drawing/2014/main" id="{00000000-0008-0000-0000-000011000000}"/>
            </a:ext>
          </a:extLst>
        </xdr:cNvPr>
        <xdr:cNvSpPr/>
      </xdr:nvSpPr>
      <xdr:spPr>
        <a:xfrm rot="5400000">
          <a:off x="5063842" y="2500746"/>
          <a:ext cx="710045" cy="381000"/>
        </a:xfrm>
        <a:prstGeom prst="curvedUp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71010</xdr:colOff>
      <xdr:row>3</xdr:row>
      <xdr:rowOff>174913</xdr:rowOff>
    </xdr:from>
    <xdr:to>
      <xdr:col>4</xdr:col>
      <xdr:colOff>452010</xdr:colOff>
      <xdr:row>4</xdr:row>
      <xdr:rowOff>174913</xdr:rowOff>
    </xdr:to>
    <xdr:sp macro="" textlink="">
      <xdr:nvSpPr>
        <xdr:cNvPr id="16" name="Flèche courbée vers le haut 15">
          <a:extLst>
            <a:ext uri="{FF2B5EF4-FFF2-40B4-BE49-F238E27FC236}">
              <a16:creationId xmlns:a16="http://schemas.microsoft.com/office/drawing/2014/main" id="{00000000-0008-0000-0000-000010000000}"/>
            </a:ext>
          </a:extLst>
        </xdr:cNvPr>
        <xdr:cNvSpPr/>
      </xdr:nvSpPr>
      <xdr:spPr>
        <a:xfrm rot="5400000">
          <a:off x="5101942" y="1932709"/>
          <a:ext cx="710045" cy="381000"/>
        </a:xfrm>
        <a:prstGeom prst="curvedUp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167990</xdr:colOff>
      <xdr:row>4</xdr:row>
      <xdr:rowOff>363682</xdr:rowOff>
    </xdr:from>
    <xdr:to>
      <xdr:col>4</xdr:col>
      <xdr:colOff>1397577</xdr:colOff>
      <xdr:row>4</xdr:row>
      <xdr:rowOff>363682</xdr:rowOff>
    </xdr:to>
    <xdr:cxnSp macro="">
      <xdr:nvCxnSpPr>
        <xdr:cNvPr id="24" name="Connecteur droit 23">
          <a:extLst>
            <a:ext uri="{FF2B5EF4-FFF2-40B4-BE49-F238E27FC236}">
              <a16:creationId xmlns:a16="http://schemas.microsoft.com/office/drawing/2014/main" id="{00000000-0008-0000-0000-000018000000}"/>
            </a:ext>
          </a:extLst>
        </xdr:cNvPr>
        <xdr:cNvCxnSpPr/>
      </xdr:nvCxnSpPr>
      <xdr:spPr>
        <a:xfrm>
          <a:off x="5359115" y="2649682"/>
          <a:ext cx="1229587" cy="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1598365</xdr:colOff>
      <xdr:row>3</xdr:row>
      <xdr:rowOff>324971</xdr:rowOff>
    </xdr:from>
    <xdr:to>
      <xdr:col>5</xdr:col>
      <xdr:colOff>825160</xdr:colOff>
      <xdr:row>3</xdr:row>
      <xdr:rowOff>605118</xdr:rowOff>
    </xdr:to>
    <xdr:sp macro="" textlink="">
      <xdr:nvSpPr>
        <xdr:cNvPr id="25" name="ZoneTexte 24">
          <a:extLst>
            <a:ext uri="{FF2B5EF4-FFF2-40B4-BE49-F238E27FC236}">
              <a16:creationId xmlns:a16="http://schemas.microsoft.com/office/drawing/2014/main" id="{00000000-0008-0000-0000-000019000000}"/>
            </a:ext>
          </a:extLst>
        </xdr:cNvPr>
        <xdr:cNvSpPr txBox="1"/>
      </xdr:nvSpPr>
      <xdr:spPr>
        <a:xfrm>
          <a:off x="6793820" y="1918244"/>
          <a:ext cx="958613"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business risk</a:t>
          </a:r>
          <a:endParaRPr lang="en-US" sz="1100"/>
        </a:p>
      </xdr:txBody>
    </xdr:sp>
    <xdr:clientData/>
  </xdr:twoCellAnchor>
  <xdr:twoCellAnchor>
    <xdr:from>
      <xdr:col>3</xdr:col>
      <xdr:colOff>623455</xdr:colOff>
      <xdr:row>4</xdr:row>
      <xdr:rowOff>68866</xdr:rowOff>
    </xdr:from>
    <xdr:to>
      <xdr:col>3</xdr:col>
      <xdr:colOff>1710017</xdr:colOff>
      <xdr:row>5</xdr:row>
      <xdr:rowOff>242456</xdr:rowOff>
    </xdr:to>
    <xdr:sp macro="" textlink="">
      <xdr:nvSpPr>
        <xdr:cNvPr id="26" name="ZoneTexte 25">
          <a:extLst>
            <a:ext uri="{FF2B5EF4-FFF2-40B4-BE49-F238E27FC236}">
              <a16:creationId xmlns:a16="http://schemas.microsoft.com/office/drawing/2014/main" id="{00000000-0008-0000-0000-00001A000000}"/>
            </a:ext>
          </a:extLst>
        </xdr:cNvPr>
        <xdr:cNvSpPr txBox="1"/>
      </xdr:nvSpPr>
      <xdr:spPr>
        <a:xfrm>
          <a:off x="4087091" y="2372184"/>
          <a:ext cx="1086562" cy="658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business risk</a:t>
          </a:r>
        </a:p>
        <a:p>
          <a:r>
            <a:rPr lang="en-US" sz="1100" baseline="0"/>
            <a:t>go/no go: patient risk</a:t>
          </a:r>
          <a:endParaRPr lang="en-US" sz="1100"/>
        </a:p>
      </xdr:txBody>
    </xdr:sp>
    <xdr:clientData/>
  </xdr:twoCellAnchor>
  <xdr:twoCellAnchor>
    <xdr:from>
      <xdr:col>4</xdr:col>
      <xdr:colOff>1588789</xdr:colOff>
      <xdr:row>4</xdr:row>
      <xdr:rowOff>230842</xdr:rowOff>
    </xdr:from>
    <xdr:to>
      <xdr:col>5</xdr:col>
      <xdr:colOff>815584</xdr:colOff>
      <xdr:row>5</xdr:row>
      <xdr:rowOff>29136</xdr:rowOff>
    </xdr:to>
    <xdr:sp macro="" textlink="">
      <xdr:nvSpPr>
        <xdr:cNvPr id="27" name="ZoneTexte 26">
          <a:extLst>
            <a:ext uri="{FF2B5EF4-FFF2-40B4-BE49-F238E27FC236}">
              <a16:creationId xmlns:a16="http://schemas.microsoft.com/office/drawing/2014/main" id="{00000000-0008-0000-0000-00001B000000}"/>
            </a:ext>
          </a:extLst>
        </xdr:cNvPr>
        <xdr:cNvSpPr txBox="1"/>
      </xdr:nvSpPr>
      <xdr:spPr>
        <a:xfrm>
          <a:off x="6784244" y="2534160"/>
          <a:ext cx="958613" cy="2832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patient risk</a:t>
          </a:r>
          <a:endParaRPr lang="en-US" sz="1100"/>
        </a:p>
      </xdr:txBody>
    </xdr:sp>
    <xdr:clientData/>
  </xdr:twoCellAnchor>
  <xdr:twoCellAnchor>
    <xdr:from>
      <xdr:col>3</xdr:col>
      <xdr:colOff>764241</xdr:colOff>
      <xdr:row>3</xdr:row>
      <xdr:rowOff>327212</xdr:rowOff>
    </xdr:from>
    <xdr:to>
      <xdr:col>3</xdr:col>
      <xdr:colOff>1716741</xdr:colOff>
      <xdr:row>3</xdr:row>
      <xdr:rowOff>607359</xdr:rowOff>
    </xdr:to>
    <xdr:sp macro="" textlink="">
      <xdr:nvSpPr>
        <xdr:cNvPr id="28" name="ZoneTexte 27">
          <a:extLst>
            <a:ext uri="{FF2B5EF4-FFF2-40B4-BE49-F238E27FC236}">
              <a16:creationId xmlns:a16="http://schemas.microsoft.com/office/drawing/2014/main" id="{00000000-0008-0000-0000-00001C000000}"/>
            </a:ext>
          </a:extLst>
        </xdr:cNvPr>
        <xdr:cNvSpPr txBox="1"/>
      </xdr:nvSpPr>
      <xdr:spPr>
        <a:xfrm>
          <a:off x="4226859" y="1907241"/>
          <a:ext cx="952500"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patient risk</a:t>
          </a:r>
          <a:endParaRPr lang="en-US" sz="1100"/>
        </a:p>
      </xdr:txBody>
    </xdr:sp>
    <xdr:clientData/>
  </xdr:twoCellAnchor>
  <xdr:twoCellAnchor>
    <xdr:from>
      <xdr:col>5</xdr:col>
      <xdr:colOff>681620</xdr:colOff>
      <xdr:row>5</xdr:row>
      <xdr:rowOff>135661</xdr:rowOff>
    </xdr:from>
    <xdr:to>
      <xdr:col>6</xdr:col>
      <xdr:colOff>37802</xdr:colOff>
      <xdr:row>6</xdr:row>
      <xdr:rowOff>141374</xdr:rowOff>
    </xdr:to>
    <xdr:sp macro="" textlink="">
      <xdr:nvSpPr>
        <xdr:cNvPr id="3" name="Flèche droite 2">
          <a:extLst>
            <a:ext uri="{FF2B5EF4-FFF2-40B4-BE49-F238E27FC236}">
              <a16:creationId xmlns:a16="http://schemas.microsoft.com/office/drawing/2014/main" id="{00000000-0008-0000-0000-000003000000}"/>
            </a:ext>
          </a:extLst>
        </xdr:cNvPr>
        <xdr:cNvSpPr/>
      </xdr:nvSpPr>
      <xdr:spPr>
        <a:xfrm rot="2648055">
          <a:off x="7590908" y="2905238"/>
          <a:ext cx="242740" cy="481963"/>
        </a:xfrm>
        <a:prstGeom prst="rightArrow">
          <a:avLst>
            <a:gd name="adj1" fmla="val 17152"/>
            <a:gd name="adj2" fmla="val 1346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9330-BB58-49DA-9647-1ACEE7228EE2}">
  <dimension ref="B2:AR72"/>
  <sheetViews>
    <sheetView showGridLines="0" tabSelected="1" topLeftCell="A12" zoomScale="70" zoomScaleNormal="70" workbookViewId="0">
      <selection activeCell="AB44" sqref="AB44"/>
    </sheetView>
  </sheetViews>
  <sheetFormatPr baseColWidth="10" defaultColWidth="11.42578125" defaultRowHeight="15" x14ac:dyDescent="0.25"/>
  <cols>
    <col min="1" max="15" width="11.42578125" style="50"/>
    <col min="16" max="16" width="12.28515625" style="50" customWidth="1"/>
    <col min="17" max="17" width="11.42578125" style="50"/>
    <col min="18" max="18" width="12.7109375" style="50" customWidth="1"/>
    <col min="19" max="16384" width="11.42578125" style="50"/>
  </cols>
  <sheetData>
    <row r="2" spans="3:25" ht="15.75" thickBot="1" x14ac:dyDescent="0.3"/>
    <row r="3" spans="3:25" ht="17.25" customHeight="1" x14ac:dyDescent="0.25">
      <c r="C3" s="150" t="s">
        <v>277</v>
      </c>
      <c r="D3" s="151"/>
      <c r="E3" s="151"/>
      <c r="F3" s="151"/>
      <c r="G3" s="151"/>
      <c r="H3" s="151"/>
      <c r="I3" s="151"/>
      <c r="J3" s="151"/>
      <c r="K3" s="151"/>
      <c r="L3" s="151"/>
      <c r="M3" s="151"/>
      <c r="N3" s="151"/>
      <c r="O3" s="151"/>
      <c r="P3" s="151"/>
      <c r="Q3" s="151"/>
      <c r="R3" s="151"/>
      <c r="S3" s="151"/>
      <c r="T3" s="151"/>
      <c r="U3" s="151"/>
      <c r="V3" s="151"/>
      <c r="W3" s="151"/>
      <c r="X3" s="151"/>
      <c r="Y3" s="152"/>
    </row>
    <row r="4" spans="3:25" ht="15" customHeight="1" x14ac:dyDescent="0.25">
      <c r="C4" s="153"/>
      <c r="D4" s="154"/>
      <c r="E4" s="154"/>
      <c r="F4" s="154"/>
      <c r="G4" s="154"/>
      <c r="H4" s="154"/>
      <c r="I4" s="154"/>
      <c r="J4" s="154"/>
      <c r="K4" s="154"/>
      <c r="L4" s="154"/>
      <c r="M4" s="154"/>
      <c r="N4" s="154"/>
      <c r="O4" s="154"/>
      <c r="P4" s="154"/>
      <c r="Q4" s="154"/>
      <c r="R4" s="154"/>
      <c r="S4" s="154"/>
      <c r="T4" s="154"/>
      <c r="U4" s="154"/>
      <c r="V4" s="154"/>
      <c r="W4" s="154"/>
      <c r="X4" s="154"/>
      <c r="Y4" s="155"/>
    </row>
    <row r="5" spans="3:25" ht="15" customHeight="1" x14ac:dyDescent="0.25">
      <c r="C5" s="153"/>
      <c r="D5" s="154"/>
      <c r="E5" s="154"/>
      <c r="F5" s="154"/>
      <c r="G5" s="154"/>
      <c r="H5" s="154"/>
      <c r="I5" s="154"/>
      <c r="J5" s="154"/>
      <c r="K5" s="154"/>
      <c r="L5" s="154"/>
      <c r="M5" s="154"/>
      <c r="N5" s="154"/>
      <c r="O5" s="154"/>
      <c r="P5" s="154"/>
      <c r="Q5" s="154"/>
      <c r="R5" s="154"/>
      <c r="S5" s="154"/>
      <c r="T5" s="154"/>
      <c r="U5" s="154"/>
      <c r="V5" s="154"/>
      <c r="W5" s="154"/>
      <c r="X5" s="154"/>
      <c r="Y5" s="155"/>
    </row>
    <row r="6" spans="3:25" ht="15" customHeight="1" x14ac:dyDescent="0.25">
      <c r="C6" s="153"/>
      <c r="D6" s="154"/>
      <c r="E6" s="154"/>
      <c r="F6" s="154"/>
      <c r="G6" s="154"/>
      <c r="H6" s="154"/>
      <c r="I6" s="154"/>
      <c r="J6" s="154"/>
      <c r="K6" s="154"/>
      <c r="L6" s="154"/>
      <c r="M6" s="154"/>
      <c r="N6" s="154"/>
      <c r="O6" s="154"/>
      <c r="P6" s="154"/>
      <c r="Q6" s="154"/>
      <c r="R6" s="154"/>
      <c r="S6" s="154"/>
      <c r="T6" s="154"/>
      <c r="U6" s="154"/>
      <c r="V6" s="154"/>
      <c r="W6" s="154"/>
      <c r="X6" s="154"/>
      <c r="Y6" s="155"/>
    </row>
    <row r="7" spans="3:25" ht="15" customHeight="1" x14ac:dyDescent="0.25">
      <c r="C7" s="153"/>
      <c r="D7" s="154"/>
      <c r="E7" s="154"/>
      <c r="F7" s="154"/>
      <c r="G7" s="154"/>
      <c r="H7" s="154"/>
      <c r="I7" s="154"/>
      <c r="J7" s="154"/>
      <c r="K7" s="154"/>
      <c r="L7" s="154"/>
      <c r="M7" s="154"/>
      <c r="N7" s="154"/>
      <c r="O7" s="154"/>
      <c r="P7" s="154"/>
      <c r="Q7" s="154"/>
      <c r="R7" s="154"/>
      <c r="S7" s="154"/>
      <c r="T7" s="154"/>
      <c r="U7" s="154"/>
      <c r="V7" s="154"/>
      <c r="W7" s="154"/>
      <c r="X7" s="154"/>
      <c r="Y7" s="155"/>
    </row>
    <row r="8" spans="3:25" x14ac:dyDescent="0.25">
      <c r="C8" s="153"/>
      <c r="D8" s="154"/>
      <c r="E8" s="154"/>
      <c r="F8" s="154"/>
      <c r="G8" s="154"/>
      <c r="H8" s="154"/>
      <c r="I8" s="154"/>
      <c r="J8" s="154"/>
      <c r="K8" s="154"/>
      <c r="L8" s="154"/>
      <c r="M8" s="154"/>
      <c r="N8" s="154"/>
      <c r="O8" s="154"/>
      <c r="P8" s="154"/>
      <c r="Q8" s="154"/>
      <c r="R8" s="154"/>
      <c r="S8" s="154"/>
      <c r="T8" s="154"/>
      <c r="U8" s="154"/>
      <c r="V8" s="154"/>
      <c r="W8" s="154"/>
      <c r="X8" s="154"/>
      <c r="Y8" s="155"/>
    </row>
    <row r="9" spans="3:25" x14ac:dyDescent="0.25">
      <c r="C9" s="153"/>
      <c r="D9" s="154"/>
      <c r="E9" s="154"/>
      <c r="F9" s="154"/>
      <c r="G9" s="154"/>
      <c r="H9" s="154"/>
      <c r="I9" s="154"/>
      <c r="J9" s="154"/>
      <c r="K9" s="154"/>
      <c r="L9" s="154"/>
      <c r="M9" s="154"/>
      <c r="N9" s="154"/>
      <c r="O9" s="154"/>
      <c r="P9" s="154"/>
      <c r="Q9" s="154"/>
      <c r="R9" s="154"/>
      <c r="S9" s="154"/>
      <c r="T9" s="154"/>
      <c r="U9" s="154"/>
      <c r="V9" s="154"/>
      <c r="W9" s="154"/>
      <c r="X9" s="154"/>
      <c r="Y9" s="155"/>
    </row>
    <row r="10" spans="3:25" x14ac:dyDescent="0.25">
      <c r="C10" s="153"/>
      <c r="D10" s="154"/>
      <c r="E10" s="154"/>
      <c r="F10" s="154"/>
      <c r="G10" s="154"/>
      <c r="H10" s="154"/>
      <c r="I10" s="154"/>
      <c r="J10" s="154"/>
      <c r="K10" s="154"/>
      <c r="L10" s="154"/>
      <c r="M10" s="154"/>
      <c r="N10" s="154"/>
      <c r="O10" s="154"/>
      <c r="P10" s="154"/>
      <c r="Q10" s="154"/>
      <c r="R10" s="154"/>
      <c r="S10" s="154"/>
      <c r="T10" s="154"/>
      <c r="U10" s="154"/>
      <c r="V10" s="154"/>
      <c r="W10" s="154"/>
      <c r="X10" s="154"/>
      <c r="Y10" s="155"/>
    </row>
    <row r="11" spans="3:25" x14ac:dyDescent="0.25">
      <c r="C11" s="153"/>
      <c r="D11" s="154"/>
      <c r="E11" s="154"/>
      <c r="F11" s="154"/>
      <c r="G11" s="154"/>
      <c r="H11" s="154"/>
      <c r="I11" s="154"/>
      <c r="J11" s="154"/>
      <c r="K11" s="154"/>
      <c r="L11" s="154"/>
      <c r="M11" s="154"/>
      <c r="N11" s="154"/>
      <c r="O11" s="154"/>
      <c r="P11" s="154"/>
      <c r="Q11" s="154"/>
      <c r="R11" s="154"/>
      <c r="S11" s="154"/>
      <c r="T11" s="154"/>
      <c r="U11" s="154"/>
      <c r="V11" s="154"/>
      <c r="W11" s="154"/>
      <c r="X11" s="154"/>
      <c r="Y11" s="155"/>
    </row>
    <row r="12" spans="3:25" ht="26.25" customHeight="1" thickBot="1" x14ac:dyDescent="0.3">
      <c r="C12" s="156"/>
      <c r="D12" s="157"/>
      <c r="E12" s="157"/>
      <c r="F12" s="157"/>
      <c r="G12" s="157"/>
      <c r="H12" s="157"/>
      <c r="I12" s="157"/>
      <c r="J12" s="157"/>
      <c r="K12" s="157"/>
      <c r="L12" s="157"/>
      <c r="M12" s="157"/>
      <c r="N12" s="157"/>
      <c r="O12" s="157"/>
      <c r="P12" s="157"/>
      <c r="Q12" s="157"/>
      <c r="R12" s="157"/>
      <c r="S12" s="157"/>
      <c r="T12" s="157"/>
      <c r="U12" s="157"/>
      <c r="V12" s="157"/>
      <c r="W12" s="157"/>
      <c r="X12" s="157"/>
      <c r="Y12" s="158"/>
    </row>
    <row r="15" spans="3:25" x14ac:dyDescent="0.25">
      <c r="I15" s="77" t="s">
        <v>209</v>
      </c>
      <c r="J15" s="78"/>
      <c r="K15" s="78"/>
      <c r="L15" s="78"/>
      <c r="M15" s="78"/>
      <c r="N15" s="78"/>
      <c r="O15" s="78"/>
      <c r="P15" s="78"/>
      <c r="Q15" s="78"/>
      <c r="R15" s="78"/>
      <c r="S15" s="78"/>
      <c r="T15" s="78"/>
      <c r="U15" s="78"/>
      <c r="V15" s="78"/>
      <c r="W15" s="78"/>
      <c r="X15" s="78"/>
      <c r="Y15" s="79"/>
    </row>
    <row r="16" spans="3:25" x14ac:dyDescent="0.25">
      <c r="H16" s="51" t="s">
        <v>210</v>
      </c>
      <c r="I16" s="52" t="s">
        <v>211</v>
      </c>
      <c r="J16" s="80" t="s">
        <v>212</v>
      </c>
      <c r="K16" s="81"/>
      <c r="L16" s="81"/>
      <c r="M16" s="82"/>
      <c r="N16" s="51" t="s">
        <v>213</v>
      </c>
      <c r="O16" s="52" t="s">
        <v>211</v>
      </c>
      <c r="P16" s="83" t="s">
        <v>214</v>
      </c>
      <c r="Q16" s="84"/>
      <c r="R16" s="84"/>
      <c r="S16" s="85"/>
      <c r="T16" s="51" t="s">
        <v>215</v>
      </c>
      <c r="U16" s="52" t="s">
        <v>211</v>
      </c>
      <c r="V16" s="83" t="s">
        <v>216</v>
      </c>
      <c r="W16" s="84"/>
      <c r="X16" s="84"/>
      <c r="Y16" s="85"/>
    </row>
    <row r="17" spans="2:25" x14ac:dyDescent="0.25">
      <c r="H17" s="51"/>
      <c r="I17" s="53">
        <v>-2</v>
      </c>
      <c r="J17" s="86" t="s">
        <v>217</v>
      </c>
      <c r="K17" s="86"/>
      <c r="L17" s="86"/>
      <c r="M17" s="86"/>
      <c r="N17" s="51"/>
      <c r="O17" s="53">
        <v>-2</v>
      </c>
      <c r="P17" s="86" t="s">
        <v>218</v>
      </c>
      <c r="Q17" s="86"/>
      <c r="R17" s="86"/>
      <c r="S17" s="86"/>
      <c r="T17" s="51"/>
      <c r="U17" s="53">
        <v>-2</v>
      </c>
      <c r="V17" s="86"/>
      <c r="W17" s="86"/>
      <c r="X17" s="86"/>
      <c r="Y17" s="86"/>
    </row>
    <row r="18" spans="2:25" x14ac:dyDescent="0.25">
      <c r="C18" s="54" t="s">
        <v>219</v>
      </c>
      <c r="D18" s="87" t="s">
        <v>220</v>
      </c>
      <c r="E18" s="88"/>
      <c r="F18" s="88"/>
      <c r="G18" s="89"/>
      <c r="H18" s="51"/>
      <c r="I18" s="53">
        <v>0</v>
      </c>
      <c r="J18" s="86" t="s">
        <v>221</v>
      </c>
      <c r="K18" s="86"/>
      <c r="L18" s="86"/>
      <c r="M18" s="86"/>
      <c r="N18" s="51"/>
      <c r="O18" s="53">
        <v>0</v>
      </c>
      <c r="P18" s="86" t="s">
        <v>222</v>
      </c>
      <c r="Q18" s="86"/>
      <c r="R18" s="86"/>
      <c r="S18" s="86"/>
      <c r="T18" s="51"/>
      <c r="U18" s="53">
        <v>0</v>
      </c>
      <c r="V18" s="86" t="s">
        <v>223</v>
      </c>
      <c r="W18" s="86"/>
      <c r="X18" s="86"/>
      <c r="Y18" s="86"/>
    </row>
    <row r="19" spans="2:25" x14ac:dyDescent="0.25">
      <c r="C19" s="54" t="s">
        <v>224</v>
      </c>
      <c r="D19" s="90" t="s">
        <v>225</v>
      </c>
      <c r="E19" s="91"/>
      <c r="F19" s="91"/>
      <c r="G19" s="92"/>
      <c r="H19" s="51"/>
      <c r="I19" s="53">
        <v>2</v>
      </c>
      <c r="J19" s="86" t="s">
        <v>226</v>
      </c>
      <c r="K19" s="86"/>
      <c r="L19" s="86"/>
      <c r="M19" s="86"/>
      <c r="N19" s="51"/>
      <c r="O19" s="53">
        <v>2</v>
      </c>
      <c r="P19" s="86" t="s">
        <v>227</v>
      </c>
      <c r="Q19" s="86"/>
      <c r="R19" s="86"/>
      <c r="S19" s="86"/>
      <c r="T19" s="51"/>
      <c r="U19" s="53">
        <v>2</v>
      </c>
      <c r="V19" s="86"/>
      <c r="W19" s="86"/>
      <c r="X19" s="86"/>
      <c r="Y19" s="86"/>
    </row>
    <row r="20" spans="2:25" x14ac:dyDescent="0.25">
      <c r="C20" s="54" t="s">
        <v>210</v>
      </c>
      <c r="D20" s="86" t="s">
        <v>228</v>
      </c>
      <c r="E20" s="86"/>
      <c r="F20" s="86"/>
      <c r="G20" s="86"/>
      <c r="H20" s="55"/>
    </row>
    <row r="21" spans="2:25" x14ac:dyDescent="0.25">
      <c r="C21" s="54" t="s">
        <v>213</v>
      </c>
      <c r="D21" s="86" t="s">
        <v>229</v>
      </c>
      <c r="E21" s="86"/>
      <c r="F21" s="86"/>
      <c r="G21" s="86"/>
      <c r="H21" s="55"/>
      <c r="I21" s="93" t="s">
        <v>230</v>
      </c>
      <c r="J21" s="94"/>
      <c r="K21" s="94"/>
      <c r="L21" s="94"/>
      <c r="M21" s="94"/>
      <c r="N21" s="94"/>
      <c r="O21" s="94"/>
      <c r="P21" s="94"/>
      <c r="Q21" s="94"/>
      <c r="R21" s="94"/>
      <c r="S21" s="94"/>
      <c r="T21" s="94"/>
      <c r="U21" s="94"/>
      <c r="V21" s="94"/>
      <c r="W21" s="94"/>
      <c r="X21" s="94"/>
      <c r="Y21" s="95"/>
    </row>
    <row r="22" spans="2:25" x14ac:dyDescent="0.25">
      <c r="C22" s="54" t="s">
        <v>215</v>
      </c>
      <c r="D22" s="86" t="s">
        <v>231</v>
      </c>
      <c r="E22" s="86"/>
      <c r="F22" s="86"/>
      <c r="G22" s="86"/>
      <c r="H22" s="51" t="s">
        <v>224</v>
      </c>
      <c r="I22" s="52" t="s">
        <v>211</v>
      </c>
      <c r="J22" s="83" t="s">
        <v>232</v>
      </c>
      <c r="K22" s="84"/>
      <c r="L22" s="84"/>
      <c r="M22" s="85"/>
      <c r="N22" s="51" t="s">
        <v>233</v>
      </c>
      <c r="O22" s="52" t="s">
        <v>211</v>
      </c>
      <c r="P22" s="83" t="s">
        <v>234</v>
      </c>
      <c r="Q22" s="84"/>
      <c r="R22" s="84"/>
      <c r="S22" s="85"/>
      <c r="T22" s="51" t="s">
        <v>235</v>
      </c>
      <c r="U22" s="52" t="s">
        <v>211</v>
      </c>
      <c r="V22" s="83" t="s">
        <v>236</v>
      </c>
      <c r="W22" s="84"/>
      <c r="X22" s="84"/>
      <c r="Y22" s="85"/>
    </row>
    <row r="23" spans="2:25" x14ac:dyDescent="0.25">
      <c r="C23" s="54" t="s">
        <v>233</v>
      </c>
      <c r="D23" s="86" t="s">
        <v>234</v>
      </c>
      <c r="E23" s="86"/>
      <c r="F23" s="86"/>
      <c r="G23" s="86"/>
      <c r="I23" s="53">
        <v>-2</v>
      </c>
      <c r="J23" s="86" t="s">
        <v>237</v>
      </c>
      <c r="K23" s="86"/>
      <c r="L23" s="86"/>
      <c r="M23" s="86"/>
      <c r="N23" s="51"/>
      <c r="O23" s="53">
        <v>-2</v>
      </c>
      <c r="P23" s="86" t="s">
        <v>238</v>
      </c>
      <c r="Q23" s="86"/>
      <c r="R23" s="86"/>
      <c r="S23" s="86"/>
      <c r="T23" s="51"/>
      <c r="U23" s="53">
        <v>-2</v>
      </c>
      <c r="V23" s="86" t="s">
        <v>239</v>
      </c>
      <c r="W23" s="86"/>
      <c r="X23" s="86"/>
      <c r="Y23" s="86"/>
    </row>
    <row r="24" spans="2:25" x14ac:dyDescent="0.25">
      <c r="B24" s="51"/>
      <c r="C24" s="54" t="s">
        <v>235</v>
      </c>
      <c r="D24" s="86" t="s">
        <v>236</v>
      </c>
      <c r="E24" s="86"/>
      <c r="F24" s="86"/>
      <c r="G24" s="86"/>
      <c r="I24" s="53">
        <v>0</v>
      </c>
      <c r="J24" s="86" t="s">
        <v>240</v>
      </c>
      <c r="K24" s="86"/>
      <c r="L24" s="86"/>
      <c r="M24" s="86"/>
      <c r="N24" s="51"/>
      <c r="O24" s="53">
        <v>0</v>
      </c>
      <c r="P24" s="86" t="s">
        <v>241</v>
      </c>
      <c r="Q24" s="86"/>
      <c r="R24" s="86"/>
      <c r="S24" s="86"/>
      <c r="T24" s="51"/>
      <c r="U24" s="53">
        <v>0</v>
      </c>
      <c r="V24" s="86"/>
      <c r="W24" s="86"/>
      <c r="X24" s="86"/>
      <c r="Y24" s="86"/>
    </row>
    <row r="25" spans="2:25" x14ac:dyDescent="0.25">
      <c r="C25" s="54" t="s">
        <v>242</v>
      </c>
      <c r="D25" s="86" t="s">
        <v>243</v>
      </c>
      <c r="E25" s="86"/>
      <c r="F25" s="86"/>
      <c r="G25" s="86"/>
      <c r="I25" s="53">
        <v>2</v>
      </c>
      <c r="J25" s="86" t="s">
        <v>244</v>
      </c>
      <c r="K25" s="86"/>
      <c r="L25" s="86"/>
      <c r="M25" s="86"/>
      <c r="N25" s="51"/>
      <c r="O25" s="53">
        <v>2</v>
      </c>
      <c r="P25" s="86" t="s">
        <v>245</v>
      </c>
      <c r="Q25" s="86"/>
      <c r="R25" s="86"/>
      <c r="S25" s="86"/>
      <c r="T25" s="51"/>
      <c r="U25" s="53">
        <v>2</v>
      </c>
      <c r="V25" s="86" t="s">
        <v>246</v>
      </c>
      <c r="W25" s="86"/>
      <c r="X25" s="86"/>
      <c r="Y25" s="86"/>
    </row>
    <row r="26" spans="2:25" x14ac:dyDescent="0.25">
      <c r="C26" s="54" t="s">
        <v>247</v>
      </c>
      <c r="D26" s="86" t="s">
        <v>248</v>
      </c>
      <c r="E26" s="86"/>
      <c r="F26" s="86"/>
      <c r="G26" s="86"/>
      <c r="T26" s="55"/>
      <c r="U26" s="55"/>
      <c r="V26" s="55"/>
      <c r="W26" s="55"/>
      <c r="X26" s="55"/>
      <c r="Y26" s="55"/>
    </row>
    <row r="27" spans="2:25" x14ac:dyDescent="0.25">
      <c r="C27" s="54" t="s">
        <v>249</v>
      </c>
      <c r="D27" s="86" t="s">
        <v>250</v>
      </c>
      <c r="E27" s="86"/>
      <c r="F27" s="86"/>
      <c r="G27" s="86"/>
      <c r="H27" s="51" t="s">
        <v>242</v>
      </c>
      <c r="I27" s="53" t="s">
        <v>211</v>
      </c>
      <c r="J27" s="83" t="s">
        <v>243</v>
      </c>
      <c r="K27" s="84"/>
      <c r="L27" s="84"/>
      <c r="M27" s="85"/>
      <c r="N27" s="51" t="s">
        <v>247</v>
      </c>
      <c r="O27" s="53" t="s">
        <v>211</v>
      </c>
      <c r="P27" s="83" t="s">
        <v>248</v>
      </c>
      <c r="Q27" s="84"/>
      <c r="R27" s="84"/>
      <c r="S27" s="85"/>
      <c r="T27" s="51" t="s">
        <v>249</v>
      </c>
      <c r="U27" s="53" t="s">
        <v>211</v>
      </c>
      <c r="V27" s="83" t="s">
        <v>251</v>
      </c>
      <c r="W27" s="84"/>
      <c r="X27" s="84"/>
      <c r="Y27" s="85"/>
    </row>
    <row r="28" spans="2:25" x14ac:dyDescent="0.25">
      <c r="H28" s="51"/>
      <c r="I28" s="53">
        <v>-2</v>
      </c>
      <c r="J28" s="86" t="s">
        <v>252</v>
      </c>
      <c r="K28" s="86"/>
      <c r="L28" s="86"/>
      <c r="M28" s="86"/>
      <c r="O28" s="53">
        <v>-2</v>
      </c>
      <c r="P28" s="86" t="s">
        <v>253</v>
      </c>
      <c r="Q28" s="86"/>
      <c r="R28" s="86"/>
      <c r="S28" s="86"/>
      <c r="U28" s="53">
        <v>-2</v>
      </c>
      <c r="V28" s="86" t="s">
        <v>254</v>
      </c>
      <c r="W28" s="86"/>
      <c r="X28" s="86"/>
      <c r="Y28" s="86"/>
    </row>
    <row r="29" spans="2:25" x14ac:dyDescent="0.25">
      <c r="H29" s="51"/>
      <c r="I29" s="53">
        <v>0</v>
      </c>
      <c r="J29" s="86" t="s">
        <v>16</v>
      </c>
      <c r="K29" s="86"/>
      <c r="L29" s="86"/>
      <c r="M29" s="86"/>
      <c r="O29" s="53">
        <v>0</v>
      </c>
      <c r="P29" s="86" t="s">
        <v>255</v>
      </c>
      <c r="Q29" s="86"/>
      <c r="R29" s="86"/>
      <c r="S29" s="86"/>
      <c r="U29" s="53">
        <v>0</v>
      </c>
      <c r="V29" s="86" t="s">
        <v>256</v>
      </c>
      <c r="W29" s="86"/>
      <c r="X29" s="86"/>
      <c r="Y29" s="86"/>
    </row>
    <row r="30" spans="2:25" x14ac:dyDescent="0.25">
      <c r="H30" s="51"/>
      <c r="I30" s="53">
        <v>2</v>
      </c>
      <c r="J30" s="86" t="s">
        <v>257</v>
      </c>
      <c r="K30" s="86"/>
      <c r="L30" s="86"/>
      <c r="M30" s="86"/>
      <c r="O30" s="53">
        <v>2</v>
      </c>
      <c r="P30" s="86" t="s">
        <v>258</v>
      </c>
      <c r="Q30" s="86"/>
      <c r="R30" s="86"/>
      <c r="S30" s="86"/>
      <c r="U30" s="53">
        <v>2</v>
      </c>
      <c r="V30" s="86" t="s">
        <v>259</v>
      </c>
      <c r="W30" s="86"/>
      <c r="X30" s="86"/>
      <c r="Y30" s="86"/>
    </row>
    <row r="33" spans="2:44" x14ac:dyDescent="0.25">
      <c r="B33" s="86" t="s">
        <v>260</v>
      </c>
      <c r="C33" s="86"/>
      <c r="D33" s="96" t="s">
        <v>261</v>
      </c>
      <c r="E33" s="96"/>
      <c r="F33" s="96"/>
      <c r="G33" s="96"/>
      <c r="H33" s="96"/>
      <c r="I33" s="96"/>
      <c r="J33" s="96"/>
      <c r="K33" s="96"/>
      <c r="L33" s="9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row>
    <row r="34" spans="2:44" x14ac:dyDescent="0.25">
      <c r="B34" s="86" t="s">
        <v>262</v>
      </c>
      <c r="C34" s="86"/>
      <c r="D34" s="57" t="s">
        <v>224</v>
      </c>
      <c r="E34" s="57" t="s">
        <v>210</v>
      </c>
      <c r="F34" s="57" t="s">
        <v>213</v>
      </c>
      <c r="G34" s="57" t="s">
        <v>215</v>
      </c>
      <c r="H34" s="57" t="s">
        <v>233</v>
      </c>
      <c r="I34" s="57" t="s">
        <v>235</v>
      </c>
      <c r="J34" s="57" t="s">
        <v>242</v>
      </c>
      <c r="K34" s="57" t="s">
        <v>247</v>
      </c>
      <c r="L34" s="53" t="s">
        <v>249</v>
      </c>
      <c r="Q34" s="56"/>
      <c r="R34" s="56"/>
      <c r="S34" s="58"/>
      <c r="T34" s="58"/>
      <c r="U34" s="58"/>
      <c r="V34" s="58"/>
      <c r="W34" s="58"/>
      <c r="X34" s="58"/>
      <c r="Y34" s="58"/>
      <c r="Z34" s="58"/>
      <c r="AA34" s="58"/>
      <c r="AB34" s="58"/>
      <c r="AC34" s="59" t="s">
        <v>263</v>
      </c>
      <c r="AD34" s="58"/>
      <c r="AE34" s="56"/>
      <c r="AF34" s="56"/>
      <c r="AG34" s="56"/>
      <c r="AH34" s="56"/>
      <c r="AI34" s="56"/>
      <c r="AJ34" s="56"/>
      <c r="AK34" s="56"/>
      <c r="AL34" s="56"/>
      <c r="AM34" s="56"/>
      <c r="AN34" s="56"/>
      <c r="AO34" s="56"/>
      <c r="AP34" s="56"/>
      <c r="AQ34" s="56"/>
      <c r="AR34" s="56"/>
    </row>
    <row r="35" spans="2:44" x14ac:dyDescent="0.25">
      <c r="B35" s="100" t="s">
        <v>264</v>
      </c>
      <c r="C35" s="101"/>
      <c r="D35" s="60">
        <f>AVERAGE(D37:D71)</f>
        <v>-1.375</v>
      </c>
      <c r="E35" s="60">
        <f t="shared" ref="E35:L35" si="0">AVERAGE(E37:E71)</f>
        <v>1.625</v>
      </c>
      <c r="F35" s="60">
        <f t="shared" si="0"/>
        <v>0.375</v>
      </c>
      <c r="G35" s="60">
        <f t="shared" si="0"/>
        <v>-0.375</v>
      </c>
      <c r="H35" s="60">
        <f t="shared" si="0"/>
        <v>1.25</v>
      </c>
      <c r="I35" s="60">
        <f t="shared" si="0"/>
        <v>-1.375</v>
      </c>
      <c r="J35" s="60">
        <f t="shared" si="0"/>
        <v>-0.375</v>
      </c>
      <c r="K35" s="60">
        <f t="shared" si="0"/>
        <v>-0.375</v>
      </c>
      <c r="L35" s="60">
        <f t="shared" si="0"/>
        <v>1.625</v>
      </c>
      <c r="M35" s="97" t="s">
        <v>265</v>
      </c>
      <c r="N35" s="98"/>
      <c r="O35" s="98"/>
      <c r="P35" s="99"/>
      <c r="Q35" s="56"/>
      <c r="R35" s="56"/>
      <c r="S35" s="58"/>
      <c r="T35" s="58"/>
      <c r="U35" s="58"/>
      <c r="V35" s="58"/>
      <c r="W35" s="58"/>
      <c r="X35" s="58"/>
      <c r="Y35" s="58"/>
      <c r="Z35" s="58"/>
      <c r="AA35" s="58"/>
      <c r="AB35" s="61" t="s">
        <v>266</v>
      </c>
      <c r="AC35" s="62">
        <f>AVERAGE(AC37:AC71)</f>
        <v>0</v>
      </c>
      <c r="AD35" s="58"/>
      <c r="AE35" s="56"/>
      <c r="AF35" s="56"/>
      <c r="AG35" s="56"/>
      <c r="AH35" s="56"/>
      <c r="AI35" s="56"/>
      <c r="AJ35" s="56"/>
      <c r="AK35" s="56"/>
      <c r="AL35" s="56"/>
      <c r="AM35" s="56"/>
      <c r="AN35" s="56"/>
      <c r="AO35" s="56"/>
      <c r="AP35" s="56"/>
      <c r="AQ35" s="56"/>
      <c r="AR35" s="56"/>
    </row>
    <row r="36" spans="2:44" x14ac:dyDescent="0.25">
      <c r="B36" s="100" t="s">
        <v>267</v>
      </c>
      <c r="C36" s="101"/>
      <c r="D36" s="63">
        <f t="shared" ref="D36:L36" si="1">STDEVP(D37:D71)</f>
        <v>0.48412291827592713</v>
      </c>
      <c r="E36" s="63">
        <f t="shared" si="1"/>
        <v>0.48412291827592713</v>
      </c>
      <c r="F36" s="63">
        <f t="shared" si="1"/>
        <v>0.48412291827592713</v>
      </c>
      <c r="G36" s="63">
        <f t="shared" si="1"/>
        <v>0.48412291827592713</v>
      </c>
      <c r="H36" s="63">
        <f t="shared" si="1"/>
        <v>0.96824583655185426</v>
      </c>
      <c r="I36" s="63">
        <f t="shared" si="1"/>
        <v>0.48412291827592713</v>
      </c>
      <c r="J36" s="63">
        <f t="shared" si="1"/>
        <v>0.48412291827592713</v>
      </c>
      <c r="K36" s="63">
        <f t="shared" si="1"/>
        <v>0.48412291827592713</v>
      </c>
      <c r="L36" s="63">
        <f t="shared" si="1"/>
        <v>0.48412291827592713</v>
      </c>
      <c r="M36" s="53" t="s">
        <v>268</v>
      </c>
      <c r="N36" s="53" t="s">
        <v>269</v>
      </c>
      <c r="O36" s="53" t="s">
        <v>270</v>
      </c>
      <c r="P36" s="64" t="s">
        <v>271</v>
      </c>
      <c r="Q36" s="56"/>
      <c r="R36" s="56"/>
      <c r="S36" s="58"/>
      <c r="T36" s="58"/>
      <c r="U36" s="58"/>
      <c r="V36" s="58"/>
      <c r="W36" s="58"/>
      <c r="X36" s="58"/>
      <c r="Y36" s="58"/>
      <c r="Z36" s="58"/>
      <c r="AA36" s="58"/>
      <c r="AB36" s="61" t="s">
        <v>272</v>
      </c>
      <c r="AC36" s="62">
        <f>STDEVP(AC37:AC71)</f>
        <v>7.0000000000000009</v>
      </c>
      <c r="AD36" s="65" t="s">
        <v>273</v>
      </c>
      <c r="AE36" s="56"/>
      <c r="AF36" s="56"/>
      <c r="AG36" s="56"/>
      <c r="AH36" s="56"/>
      <c r="AI36" s="56"/>
      <c r="AJ36" s="56"/>
      <c r="AK36" s="56"/>
      <c r="AL36" s="56"/>
      <c r="AM36" s="56"/>
      <c r="AN36" s="56"/>
      <c r="AO36" s="56"/>
      <c r="AP36" s="56"/>
      <c r="AQ36" s="56"/>
      <c r="AR36" s="56"/>
    </row>
    <row r="37" spans="2:44" x14ac:dyDescent="0.25">
      <c r="B37" s="66" t="s">
        <v>274</v>
      </c>
      <c r="C37" s="67" t="s">
        <v>275</v>
      </c>
      <c r="D37" s="68">
        <v>-1</v>
      </c>
      <c r="E37" s="68">
        <v>2</v>
      </c>
      <c r="F37" s="68">
        <v>0</v>
      </c>
      <c r="G37" s="68">
        <v>0</v>
      </c>
      <c r="H37" s="68">
        <v>2</v>
      </c>
      <c r="I37" s="68">
        <v>-1</v>
      </c>
      <c r="J37" s="68">
        <v>0</v>
      </c>
      <c r="K37" s="68">
        <v>0</v>
      </c>
      <c r="L37" s="69">
        <v>2</v>
      </c>
      <c r="M37" s="68">
        <v>6</v>
      </c>
      <c r="N37" s="70">
        <f>M37+2*$AC$36</f>
        <v>20</v>
      </c>
      <c r="O37" s="70">
        <f t="shared" ref="O37:O44" si="2">M37+5*$AC$36</f>
        <v>41.000000000000007</v>
      </c>
      <c r="P37" s="71">
        <f t="shared" ref="P37:P44" si="3">N37+AD37*$AC$36</f>
        <v>25.422176684690385</v>
      </c>
      <c r="Q37" s="56"/>
      <c r="R37" s="56"/>
      <c r="S37" s="58"/>
      <c r="T37" s="62">
        <f>IF(ISNUMBER(D37),(D37-D$35)/D$36,"")</f>
        <v>0.7745966692414834</v>
      </c>
      <c r="U37" s="62">
        <f t="shared" ref="U37:AB52" si="4">IF(ISNUMBER(E37),(E37-E$35)/E$36,"")</f>
        <v>0.7745966692414834</v>
      </c>
      <c r="V37" s="62">
        <f t="shared" si="4"/>
        <v>-0.7745966692414834</v>
      </c>
      <c r="W37" s="62">
        <f t="shared" si="4"/>
        <v>0.7745966692414834</v>
      </c>
      <c r="X37" s="62">
        <f t="shared" si="4"/>
        <v>0.7745966692414834</v>
      </c>
      <c r="Y37" s="62">
        <f t="shared" si="4"/>
        <v>0.7745966692414834</v>
      </c>
      <c r="Z37" s="62">
        <f t="shared" si="4"/>
        <v>0.7745966692414834</v>
      </c>
      <c r="AA37" s="62">
        <f t="shared" si="4"/>
        <v>0.7745966692414834</v>
      </c>
      <c r="AB37" s="62">
        <f t="shared" si="4"/>
        <v>0.7745966692414834</v>
      </c>
      <c r="AC37" s="62">
        <f>IF(ISNUMBER(T37),SUM(T37:AB37),"")</f>
        <v>5.4221766846903838</v>
      </c>
      <c r="AD37" s="72">
        <f>IF(ISNUMBER(T37),(AC37-$AC$35)/$AC$36,"")</f>
        <v>0.77459666924148329</v>
      </c>
      <c r="AE37" s="56"/>
      <c r="AF37" s="56"/>
      <c r="AG37" s="56"/>
      <c r="AH37" s="56"/>
      <c r="AI37" s="56"/>
      <c r="AJ37" s="56"/>
      <c r="AK37" s="56"/>
      <c r="AL37" s="56"/>
      <c r="AM37" s="56"/>
      <c r="AN37" s="56"/>
      <c r="AO37" s="56"/>
      <c r="AP37" s="56"/>
      <c r="AQ37" s="56"/>
      <c r="AR37" s="56"/>
    </row>
    <row r="38" spans="2:44" x14ac:dyDescent="0.25">
      <c r="B38" s="73"/>
      <c r="C38" s="67" t="s">
        <v>275</v>
      </c>
      <c r="D38" s="68">
        <v>-1</v>
      </c>
      <c r="E38" s="68">
        <v>2</v>
      </c>
      <c r="F38" s="68">
        <v>0</v>
      </c>
      <c r="G38" s="68">
        <v>0</v>
      </c>
      <c r="H38" s="68">
        <v>2</v>
      </c>
      <c r="I38" s="68">
        <v>-1</v>
      </c>
      <c r="J38" s="68">
        <v>0</v>
      </c>
      <c r="K38" s="68">
        <v>0</v>
      </c>
      <c r="L38" s="69">
        <v>2</v>
      </c>
      <c r="M38" s="68">
        <v>6</v>
      </c>
      <c r="N38" s="70">
        <f t="shared" ref="N38:N44" si="5">M38+2*$AC$36</f>
        <v>20</v>
      </c>
      <c r="O38" s="70">
        <f t="shared" si="2"/>
        <v>41.000000000000007</v>
      </c>
      <c r="P38" s="71">
        <f t="shared" si="3"/>
        <v>25.422176684690385</v>
      </c>
      <c r="Q38" s="56"/>
      <c r="R38" s="56"/>
      <c r="S38" s="58"/>
      <c r="T38" s="62">
        <f t="shared" ref="T38:AB71" si="6">IF(ISNUMBER(D38),(D38-D$35)/D$36,"")</f>
        <v>0.7745966692414834</v>
      </c>
      <c r="U38" s="62">
        <f t="shared" si="4"/>
        <v>0.7745966692414834</v>
      </c>
      <c r="V38" s="62">
        <f t="shared" si="4"/>
        <v>-0.7745966692414834</v>
      </c>
      <c r="W38" s="62">
        <f t="shared" si="4"/>
        <v>0.7745966692414834</v>
      </c>
      <c r="X38" s="62">
        <f t="shared" si="4"/>
        <v>0.7745966692414834</v>
      </c>
      <c r="Y38" s="62">
        <f t="shared" si="4"/>
        <v>0.7745966692414834</v>
      </c>
      <c r="Z38" s="62">
        <f t="shared" si="4"/>
        <v>0.7745966692414834</v>
      </c>
      <c r="AA38" s="62">
        <f t="shared" si="4"/>
        <v>0.7745966692414834</v>
      </c>
      <c r="AB38" s="62">
        <f t="shared" si="4"/>
        <v>0.7745966692414834</v>
      </c>
      <c r="AC38" s="62">
        <f t="shared" ref="AC38:AC71" si="7">IF(ISNUMBER(T38),SUM(T38:AB38),"")</f>
        <v>5.4221766846903838</v>
      </c>
      <c r="AD38" s="72">
        <f t="shared" ref="AD38:AD71" si="8">IF(ISNUMBER(T38),(AC38-$AC$35)/$AC$36,"")</f>
        <v>0.77459666924148329</v>
      </c>
      <c r="AE38" s="56"/>
      <c r="AF38" s="56"/>
      <c r="AG38" s="56"/>
      <c r="AH38" s="56"/>
      <c r="AI38" s="56"/>
      <c r="AJ38" s="56"/>
      <c r="AK38" s="56"/>
      <c r="AL38" s="56"/>
      <c r="AM38" s="56"/>
      <c r="AN38" s="56"/>
      <c r="AO38" s="56"/>
      <c r="AP38" s="56"/>
      <c r="AQ38" s="56"/>
      <c r="AR38" s="56"/>
    </row>
    <row r="39" spans="2:44" x14ac:dyDescent="0.25">
      <c r="B39" s="73"/>
      <c r="C39" s="67" t="s">
        <v>275</v>
      </c>
      <c r="D39" s="68">
        <v>-1</v>
      </c>
      <c r="E39" s="68">
        <v>2</v>
      </c>
      <c r="F39" s="68">
        <v>0</v>
      </c>
      <c r="G39" s="68">
        <v>0</v>
      </c>
      <c r="H39" s="68">
        <v>2</v>
      </c>
      <c r="I39" s="68">
        <v>-1</v>
      </c>
      <c r="J39" s="68">
        <v>0</v>
      </c>
      <c r="K39" s="68">
        <v>0</v>
      </c>
      <c r="L39" s="69">
        <v>2</v>
      </c>
      <c r="M39" s="68">
        <v>6</v>
      </c>
      <c r="N39" s="70">
        <f t="shared" si="5"/>
        <v>20</v>
      </c>
      <c r="O39" s="70">
        <f t="shared" si="2"/>
        <v>41.000000000000007</v>
      </c>
      <c r="P39" s="71">
        <f t="shared" si="3"/>
        <v>25.422176684690385</v>
      </c>
      <c r="Q39" s="56"/>
      <c r="R39" s="56"/>
      <c r="S39" s="58"/>
      <c r="T39" s="62">
        <f t="shared" si="6"/>
        <v>0.7745966692414834</v>
      </c>
      <c r="U39" s="62">
        <f t="shared" si="4"/>
        <v>0.7745966692414834</v>
      </c>
      <c r="V39" s="62">
        <f t="shared" si="4"/>
        <v>-0.7745966692414834</v>
      </c>
      <c r="W39" s="62">
        <f t="shared" si="4"/>
        <v>0.7745966692414834</v>
      </c>
      <c r="X39" s="62">
        <f t="shared" si="4"/>
        <v>0.7745966692414834</v>
      </c>
      <c r="Y39" s="62">
        <f t="shared" si="4"/>
        <v>0.7745966692414834</v>
      </c>
      <c r="Z39" s="62">
        <f t="shared" si="4"/>
        <v>0.7745966692414834</v>
      </c>
      <c r="AA39" s="62">
        <f t="shared" si="4"/>
        <v>0.7745966692414834</v>
      </c>
      <c r="AB39" s="62">
        <f t="shared" si="4"/>
        <v>0.7745966692414834</v>
      </c>
      <c r="AC39" s="62">
        <f t="shared" si="7"/>
        <v>5.4221766846903838</v>
      </c>
      <c r="AD39" s="72">
        <f t="shared" si="8"/>
        <v>0.77459666924148329</v>
      </c>
      <c r="AE39" s="56"/>
      <c r="AF39" s="56"/>
      <c r="AG39" s="56"/>
      <c r="AH39" s="56"/>
      <c r="AI39" s="56"/>
      <c r="AJ39" s="56"/>
      <c r="AK39" s="56"/>
      <c r="AL39" s="56"/>
      <c r="AM39" s="56"/>
      <c r="AN39" s="56"/>
      <c r="AO39" s="56"/>
      <c r="AP39" s="56"/>
      <c r="AQ39" s="56"/>
      <c r="AR39" s="56"/>
    </row>
    <row r="40" spans="2:44" x14ac:dyDescent="0.25">
      <c r="B40" s="73"/>
      <c r="C40" s="67" t="s">
        <v>275</v>
      </c>
      <c r="D40" s="68">
        <v>-1</v>
      </c>
      <c r="E40" s="68">
        <v>2</v>
      </c>
      <c r="F40" s="68">
        <v>0</v>
      </c>
      <c r="G40" s="68">
        <v>0</v>
      </c>
      <c r="H40" s="68">
        <v>2</v>
      </c>
      <c r="I40" s="68">
        <v>-1</v>
      </c>
      <c r="J40" s="68">
        <v>0</v>
      </c>
      <c r="K40" s="68">
        <v>0</v>
      </c>
      <c r="L40" s="69">
        <v>2</v>
      </c>
      <c r="M40" s="68">
        <v>6</v>
      </c>
      <c r="N40" s="70">
        <f t="shared" si="5"/>
        <v>20</v>
      </c>
      <c r="O40" s="70">
        <f t="shared" si="2"/>
        <v>41.000000000000007</v>
      </c>
      <c r="P40" s="71">
        <f t="shared" si="3"/>
        <v>25.422176684690385</v>
      </c>
      <c r="Q40" s="56"/>
      <c r="R40" s="56"/>
      <c r="S40" s="58"/>
      <c r="T40" s="62">
        <f t="shared" si="6"/>
        <v>0.7745966692414834</v>
      </c>
      <c r="U40" s="62">
        <f t="shared" si="4"/>
        <v>0.7745966692414834</v>
      </c>
      <c r="V40" s="62">
        <f t="shared" si="4"/>
        <v>-0.7745966692414834</v>
      </c>
      <c r="W40" s="62">
        <f t="shared" si="4"/>
        <v>0.7745966692414834</v>
      </c>
      <c r="X40" s="62">
        <f t="shared" si="4"/>
        <v>0.7745966692414834</v>
      </c>
      <c r="Y40" s="62">
        <f t="shared" si="4"/>
        <v>0.7745966692414834</v>
      </c>
      <c r="Z40" s="62">
        <f t="shared" si="4"/>
        <v>0.7745966692414834</v>
      </c>
      <c r="AA40" s="62">
        <f t="shared" si="4"/>
        <v>0.7745966692414834</v>
      </c>
      <c r="AB40" s="62">
        <f t="shared" si="4"/>
        <v>0.7745966692414834</v>
      </c>
      <c r="AC40" s="62">
        <f t="shared" si="7"/>
        <v>5.4221766846903838</v>
      </c>
      <c r="AD40" s="72">
        <f t="shared" si="8"/>
        <v>0.77459666924148329</v>
      </c>
      <c r="AE40" s="56"/>
      <c r="AF40" s="56"/>
      <c r="AG40" s="56"/>
      <c r="AH40" s="56"/>
      <c r="AI40" s="56"/>
      <c r="AJ40" s="56"/>
      <c r="AK40" s="56"/>
      <c r="AL40" s="56"/>
      <c r="AM40" s="56"/>
      <c r="AN40" s="56"/>
      <c r="AO40" s="56"/>
      <c r="AP40" s="56"/>
      <c r="AQ40" s="56"/>
      <c r="AR40" s="56"/>
    </row>
    <row r="41" spans="2:44" x14ac:dyDescent="0.25">
      <c r="B41" s="74"/>
      <c r="C41" s="67" t="s">
        <v>275</v>
      </c>
      <c r="D41" s="68">
        <v>-1</v>
      </c>
      <c r="E41" s="68">
        <v>2</v>
      </c>
      <c r="F41" s="68">
        <v>0</v>
      </c>
      <c r="G41" s="68">
        <v>0</v>
      </c>
      <c r="H41" s="68">
        <v>2</v>
      </c>
      <c r="I41" s="68">
        <v>-1</v>
      </c>
      <c r="J41" s="68">
        <v>0</v>
      </c>
      <c r="K41" s="68">
        <v>0</v>
      </c>
      <c r="L41" s="69">
        <v>2</v>
      </c>
      <c r="M41" s="68">
        <v>6</v>
      </c>
      <c r="N41" s="70">
        <f t="shared" si="5"/>
        <v>20</v>
      </c>
      <c r="O41" s="70">
        <f t="shared" si="2"/>
        <v>41.000000000000007</v>
      </c>
      <c r="P41" s="71">
        <f t="shared" si="3"/>
        <v>25.422176684690385</v>
      </c>
      <c r="Q41" s="56"/>
      <c r="R41" s="56"/>
      <c r="S41" s="58"/>
      <c r="T41" s="62">
        <f t="shared" si="6"/>
        <v>0.7745966692414834</v>
      </c>
      <c r="U41" s="62">
        <f t="shared" si="4"/>
        <v>0.7745966692414834</v>
      </c>
      <c r="V41" s="62">
        <f t="shared" si="4"/>
        <v>-0.7745966692414834</v>
      </c>
      <c r="W41" s="62">
        <f t="shared" si="4"/>
        <v>0.7745966692414834</v>
      </c>
      <c r="X41" s="62">
        <f t="shared" si="4"/>
        <v>0.7745966692414834</v>
      </c>
      <c r="Y41" s="62">
        <f t="shared" si="4"/>
        <v>0.7745966692414834</v>
      </c>
      <c r="Z41" s="62">
        <f t="shared" si="4"/>
        <v>0.7745966692414834</v>
      </c>
      <c r="AA41" s="62">
        <f t="shared" si="4"/>
        <v>0.7745966692414834</v>
      </c>
      <c r="AB41" s="62">
        <f t="shared" si="4"/>
        <v>0.7745966692414834</v>
      </c>
      <c r="AC41" s="62">
        <f t="shared" si="7"/>
        <v>5.4221766846903838</v>
      </c>
      <c r="AD41" s="72">
        <f t="shared" si="8"/>
        <v>0.77459666924148329</v>
      </c>
      <c r="AE41" s="56"/>
      <c r="AF41" s="56"/>
      <c r="AG41" s="56"/>
      <c r="AH41" s="56"/>
      <c r="AI41" s="56"/>
      <c r="AJ41" s="56"/>
      <c r="AK41" s="56"/>
      <c r="AL41" s="56"/>
      <c r="AM41" s="56"/>
      <c r="AN41" s="56"/>
      <c r="AO41" s="56"/>
      <c r="AP41" s="56"/>
      <c r="AQ41" s="56"/>
      <c r="AR41" s="56"/>
    </row>
    <row r="42" spans="2:44" x14ac:dyDescent="0.25">
      <c r="B42" s="66" t="s">
        <v>276</v>
      </c>
      <c r="C42" s="67" t="s">
        <v>275</v>
      </c>
      <c r="D42" s="68">
        <v>-2</v>
      </c>
      <c r="E42" s="68">
        <v>1</v>
      </c>
      <c r="F42" s="68">
        <v>1</v>
      </c>
      <c r="G42" s="68">
        <v>-1</v>
      </c>
      <c r="H42" s="68">
        <v>0</v>
      </c>
      <c r="I42" s="68">
        <v>-2</v>
      </c>
      <c r="J42" s="68">
        <v>-1</v>
      </c>
      <c r="K42" s="68">
        <v>-1</v>
      </c>
      <c r="L42" s="69">
        <v>1</v>
      </c>
      <c r="M42" s="68">
        <v>12</v>
      </c>
      <c r="N42" s="70">
        <f t="shared" si="5"/>
        <v>26</v>
      </c>
      <c r="O42" s="70">
        <f t="shared" si="2"/>
        <v>47.000000000000007</v>
      </c>
      <c r="P42" s="71">
        <f t="shared" si="3"/>
        <v>16.963038858849359</v>
      </c>
      <c r="Q42" s="56"/>
      <c r="R42" s="56"/>
      <c r="S42" s="58"/>
      <c r="T42" s="62">
        <f t="shared" si="6"/>
        <v>-1.2909944487358056</v>
      </c>
      <c r="U42" s="62">
        <f t="shared" si="4"/>
        <v>-1.2909944487358056</v>
      </c>
      <c r="V42" s="62">
        <f t="shared" si="4"/>
        <v>1.2909944487358056</v>
      </c>
      <c r="W42" s="62">
        <f t="shared" si="4"/>
        <v>-1.2909944487358056</v>
      </c>
      <c r="X42" s="62">
        <f t="shared" si="4"/>
        <v>-1.2909944487358056</v>
      </c>
      <c r="Y42" s="62">
        <f t="shared" si="4"/>
        <v>-1.2909944487358056</v>
      </c>
      <c r="Z42" s="62">
        <f t="shared" si="4"/>
        <v>-1.2909944487358056</v>
      </c>
      <c r="AA42" s="62">
        <f t="shared" si="4"/>
        <v>-1.2909944487358056</v>
      </c>
      <c r="AB42" s="62">
        <f t="shared" si="4"/>
        <v>-1.2909944487358056</v>
      </c>
      <c r="AC42" s="62">
        <f t="shared" si="7"/>
        <v>-9.0369611411506394</v>
      </c>
      <c r="AD42" s="72">
        <f t="shared" si="8"/>
        <v>-1.2909944487358054</v>
      </c>
      <c r="AE42" s="56"/>
      <c r="AF42" s="56"/>
      <c r="AG42" s="56"/>
      <c r="AH42" s="56"/>
      <c r="AI42" s="56"/>
      <c r="AJ42" s="56"/>
      <c r="AK42" s="56"/>
      <c r="AL42" s="56"/>
      <c r="AM42" s="56"/>
      <c r="AN42" s="56"/>
      <c r="AO42" s="56"/>
      <c r="AP42" s="56"/>
      <c r="AQ42" s="56"/>
      <c r="AR42" s="56"/>
    </row>
    <row r="43" spans="2:44" x14ac:dyDescent="0.25">
      <c r="B43" s="73"/>
      <c r="C43" s="67" t="s">
        <v>275</v>
      </c>
      <c r="D43" s="68">
        <v>-2</v>
      </c>
      <c r="E43" s="68">
        <v>1</v>
      </c>
      <c r="F43" s="68">
        <v>1</v>
      </c>
      <c r="G43" s="68">
        <v>-1</v>
      </c>
      <c r="H43" s="68">
        <v>0</v>
      </c>
      <c r="I43" s="68">
        <v>-2</v>
      </c>
      <c r="J43" s="68">
        <v>-1</v>
      </c>
      <c r="K43" s="68">
        <v>-1</v>
      </c>
      <c r="L43" s="69">
        <v>1</v>
      </c>
      <c r="M43" s="68">
        <v>12</v>
      </c>
      <c r="N43" s="70">
        <f t="shared" si="5"/>
        <v>26</v>
      </c>
      <c r="O43" s="70">
        <f t="shared" si="2"/>
        <v>47.000000000000007</v>
      </c>
      <c r="P43" s="71">
        <f t="shared" si="3"/>
        <v>16.963038858849359</v>
      </c>
      <c r="Q43" s="56"/>
      <c r="R43" s="56"/>
      <c r="S43" s="58"/>
      <c r="T43" s="62">
        <f t="shared" si="6"/>
        <v>-1.2909944487358056</v>
      </c>
      <c r="U43" s="62">
        <f t="shared" si="4"/>
        <v>-1.2909944487358056</v>
      </c>
      <c r="V43" s="62">
        <f t="shared" si="4"/>
        <v>1.2909944487358056</v>
      </c>
      <c r="W43" s="62">
        <f t="shared" si="4"/>
        <v>-1.2909944487358056</v>
      </c>
      <c r="X43" s="62">
        <f t="shared" si="4"/>
        <v>-1.2909944487358056</v>
      </c>
      <c r="Y43" s="62">
        <f t="shared" si="4"/>
        <v>-1.2909944487358056</v>
      </c>
      <c r="Z43" s="62">
        <f t="shared" si="4"/>
        <v>-1.2909944487358056</v>
      </c>
      <c r="AA43" s="62">
        <f t="shared" si="4"/>
        <v>-1.2909944487358056</v>
      </c>
      <c r="AB43" s="62">
        <f t="shared" si="4"/>
        <v>-1.2909944487358056</v>
      </c>
      <c r="AC43" s="62">
        <f t="shared" si="7"/>
        <v>-9.0369611411506394</v>
      </c>
      <c r="AD43" s="72">
        <f t="shared" si="8"/>
        <v>-1.2909944487358054</v>
      </c>
      <c r="AE43" s="56"/>
      <c r="AF43" s="56"/>
      <c r="AG43" s="56"/>
      <c r="AH43" s="56"/>
      <c r="AI43" s="56"/>
      <c r="AJ43" s="56"/>
      <c r="AK43" s="56"/>
      <c r="AL43" s="56"/>
      <c r="AM43" s="56"/>
      <c r="AN43" s="56"/>
      <c r="AO43" s="56"/>
      <c r="AP43" s="56"/>
      <c r="AQ43" s="56"/>
      <c r="AR43" s="56"/>
    </row>
    <row r="44" spans="2:44" x14ac:dyDescent="0.25">
      <c r="B44" s="74"/>
      <c r="C44" s="67" t="s">
        <v>275</v>
      </c>
      <c r="D44" s="68">
        <v>-2</v>
      </c>
      <c r="E44" s="68">
        <v>1</v>
      </c>
      <c r="F44" s="68">
        <v>1</v>
      </c>
      <c r="G44" s="68">
        <v>-1</v>
      </c>
      <c r="H44" s="68">
        <v>0</v>
      </c>
      <c r="I44" s="68">
        <v>-2</v>
      </c>
      <c r="J44" s="68">
        <v>-1</v>
      </c>
      <c r="K44" s="68">
        <v>-1</v>
      </c>
      <c r="L44" s="69">
        <v>1</v>
      </c>
      <c r="M44" s="68">
        <v>12</v>
      </c>
      <c r="N44" s="70">
        <f t="shared" si="5"/>
        <v>26</v>
      </c>
      <c r="O44" s="70">
        <f t="shared" si="2"/>
        <v>47.000000000000007</v>
      </c>
      <c r="P44" s="71">
        <f t="shared" si="3"/>
        <v>16.963038858849359</v>
      </c>
      <c r="Q44" s="56"/>
      <c r="R44" s="56"/>
      <c r="S44" s="58"/>
      <c r="T44" s="62">
        <f t="shared" si="6"/>
        <v>-1.2909944487358056</v>
      </c>
      <c r="U44" s="62">
        <f t="shared" si="4"/>
        <v>-1.2909944487358056</v>
      </c>
      <c r="V44" s="62">
        <f t="shared" si="4"/>
        <v>1.2909944487358056</v>
      </c>
      <c r="W44" s="62">
        <f t="shared" si="4"/>
        <v>-1.2909944487358056</v>
      </c>
      <c r="X44" s="62">
        <f t="shared" si="4"/>
        <v>-1.2909944487358056</v>
      </c>
      <c r="Y44" s="62">
        <f t="shared" si="4"/>
        <v>-1.2909944487358056</v>
      </c>
      <c r="Z44" s="62">
        <f t="shared" si="4"/>
        <v>-1.2909944487358056</v>
      </c>
      <c r="AA44" s="62">
        <f t="shared" si="4"/>
        <v>-1.2909944487358056</v>
      </c>
      <c r="AB44" s="62">
        <f t="shared" si="4"/>
        <v>-1.2909944487358056</v>
      </c>
      <c r="AC44" s="62">
        <f t="shared" si="7"/>
        <v>-9.0369611411506394</v>
      </c>
      <c r="AD44" s="72">
        <f t="shared" si="8"/>
        <v>-1.2909944487358054</v>
      </c>
      <c r="AE44" s="56"/>
      <c r="AF44" s="56"/>
      <c r="AG44" s="56"/>
      <c r="AH44" s="56"/>
      <c r="AI44" s="56"/>
      <c r="AJ44" s="56"/>
      <c r="AK44" s="56"/>
      <c r="AL44" s="56"/>
      <c r="AM44" s="56"/>
      <c r="AN44" s="56"/>
      <c r="AO44" s="56"/>
      <c r="AP44" s="56"/>
      <c r="AQ44" s="56"/>
      <c r="AR44" s="56"/>
    </row>
    <row r="45" spans="2:44" x14ac:dyDescent="0.25">
      <c r="B45" s="102"/>
      <c r="C45" s="67"/>
      <c r="D45" s="68"/>
      <c r="E45" s="68"/>
      <c r="F45" s="68"/>
      <c r="G45" s="68"/>
      <c r="H45" s="68"/>
      <c r="I45" s="68"/>
      <c r="J45" s="68"/>
      <c r="K45" s="68"/>
      <c r="L45" s="69"/>
      <c r="M45" s="68"/>
      <c r="N45" s="70"/>
      <c r="O45" s="70"/>
      <c r="P45" s="71"/>
      <c r="Q45" s="56"/>
      <c r="R45" s="56"/>
      <c r="S45" s="56"/>
      <c r="T45" s="75" t="str">
        <f t="shared" si="6"/>
        <v/>
      </c>
      <c r="U45" s="75" t="str">
        <f t="shared" si="4"/>
        <v/>
      </c>
      <c r="V45" s="75" t="str">
        <f t="shared" si="4"/>
        <v/>
      </c>
      <c r="W45" s="75" t="str">
        <f t="shared" si="4"/>
        <v/>
      </c>
      <c r="X45" s="75" t="str">
        <f t="shared" si="4"/>
        <v/>
      </c>
      <c r="Y45" s="75" t="str">
        <f t="shared" si="4"/>
        <v/>
      </c>
      <c r="Z45" s="75" t="str">
        <f t="shared" si="4"/>
        <v/>
      </c>
      <c r="AA45" s="75" t="str">
        <f t="shared" si="4"/>
        <v/>
      </c>
      <c r="AB45" s="75" t="str">
        <f t="shared" si="4"/>
        <v/>
      </c>
      <c r="AC45" s="75" t="str">
        <f t="shared" si="7"/>
        <v/>
      </c>
      <c r="AD45" s="76" t="str">
        <f t="shared" si="8"/>
        <v/>
      </c>
      <c r="AE45" s="56"/>
      <c r="AF45" s="56"/>
      <c r="AG45" s="56"/>
      <c r="AH45" s="56"/>
      <c r="AI45" s="56"/>
      <c r="AJ45" s="56"/>
      <c r="AK45" s="56"/>
      <c r="AL45" s="56"/>
      <c r="AM45" s="56"/>
      <c r="AN45" s="56"/>
      <c r="AO45" s="56"/>
      <c r="AP45" s="56"/>
      <c r="AQ45" s="56"/>
      <c r="AR45" s="56"/>
    </row>
    <row r="46" spans="2:44" x14ac:dyDescent="0.25">
      <c r="B46" s="102"/>
      <c r="C46" s="67"/>
      <c r="D46" s="68"/>
      <c r="E46" s="68"/>
      <c r="F46" s="68"/>
      <c r="G46" s="68"/>
      <c r="H46" s="68"/>
      <c r="I46" s="68"/>
      <c r="J46" s="68"/>
      <c r="K46" s="68"/>
      <c r="L46" s="69"/>
      <c r="M46" s="68"/>
      <c r="N46" s="70"/>
      <c r="O46" s="70"/>
      <c r="P46" s="71"/>
      <c r="Q46" s="56"/>
      <c r="R46" s="56"/>
      <c r="S46" s="56"/>
      <c r="T46" s="75" t="str">
        <f t="shared" si="6"/>
        <v/>
      </c>
      <c r="U46" s="75" t="str">
        <f t="shared" si="4"/>
        <v/>
      </c>
      <c r="V46" s="75" t="str">
        <f t="shared" si="4"/>
        <v/>
      </c>
      <c r="W46" s="75" t="str">
        <f t="shared" si="4"/>
        <v/>
      </c>
      <c r="X46" s="75" t="str">
        <f t="shared" si="4"/>
        <v/>
      </c>
      <c r="Y46" s="75" t="str">
        <f t="shared" si="4"/>
        <v/>
      </c>
      <c r="Z46" s="75" t="str">
        <f t="shared" si="4"/>
        <v/>
      </c>
      <c r="AA46" s="75" t="str">
        <f t="shared" si="4"/>
        <v/>
      </c>
      <c r="AB46" s="75" t="str">
        <f t="shared" si="4"/>
        <v/>
      </c>
      <c r="AC46" s="75" t="str">
        <f t="shared" si="7"/>
        <v/>
      </c>
      <c r="AD46" s="76" t="str">
        <f t="shared" si="8"/>
        <v/>
      </c>
      <c r="AE46" s="56"/>
      <c r="AF46" s="56"/>
      <c r="AG46" s="56"/>
      <c r="AH46" s="56"/>
      <c r="AI46" s="56"/>
      <c r="AJ46" s="56"/>
      <c r="AK46" s="56"/>
      <c r="AL46" s="56"/>
      <c r="AM46" s="56"/>
      <c r="AN46" s="56"/>
      <c r="AO46" s="56"/>
      <c r="AP46" s="56"/>
      <c r="AQ46" s="56"/>
      <c r="AR46" s="56"/>
    </row>
    <row r="47" spans="2:44" x14ac:dyDescent="0.25">
      <c r="B47" s="102"/>
      <c r="C47" s="67"/>
      <c r="D47" s="68"/>
      <c r="E47" s="68"/>
      <c r="F47" s="68"/>
      <c r="G47" s="68"/>
      <c r="H47" s="68"/>
      <c r="I47" s="68"/>
      <c r="J47" s="68"/>
      <c r="K47" s="68"/>
      <c r="L47" s="69"/>
      <c r="M47" s="68"/>
      <c r="N47" s="70"/>
      <c r="O47" s="70"/>
      <c r="P47" s="71"/>
      <c r="Q47" s="56"/>
      <c r="R47" s="56"/>
      <c r="S47" s="56"/>
      <c r="T47" s="75" t="str">
        <f t="shared" si="6"/>
        <v/>
      </c>
      <c r="U47" s="75" t="str">
        <f t="shared" si="4"/>
        <v/>
      </c>
      <c r="V47" s="75" t="str">
        <f t="shared" si="4"/>
        <v/>
      </c>
      <c r="W47" s="75" t="str">
        <f t="shared" si="4"/>
        <v/>
      </c>
      <c r="X47" s="75" t="str">
        <f t="shared" si="4"/>
        <v/>
      </c>
      <c r="Y47" s="75" t="str">
        <f t="shared" si="4"/>
        <v/>
      </c>
      <c r="Z47" s="75" t="str">
        <f t="shared" si="4"/>
        <v/>
      </c>
      <c r="AA47" s="75" t="str">
        <f t="shared" si="4"/>
        <v/>
      </c>
      <c r="AB47" s="75" t="str">
        <f t="shared" si="4"/>
        <v/>
      </c>
      <c r="AC47" s="75" t="str">
        <f t="shared" si="7"/>
        <v/>
      </c>
      <c r="AD47" s="76" t="str">
        <f t="shared" si="8"/>
        <v/>
      </c>
      <c r="AE47" s="56"/>
      <c r="AF47" s="56"/>
      <c r="AG47" s="56"/>
      <c r="AH47" s="56"/>
      <c r="AI47" s="56"/>
      <c r="AJ47" s="56"/>
      <c r="AK47" s="56"/>
      <c r="AL47" s="56"/>
      <c r="AM47" s="56"/>
      <c r="AN47" s="56"/>
      <c r="AO47" s="56"/>
      <c r="AP47" s="56"/>
      <c r="AQ47" s="56"/>
      <c r="AR47" s="56"/>
    </row>
    <row r="48" spans="2:44" x14ac:dyDescent="0.25">
      <c r="B48" s="102"/>
      <c r="C48" s="67"/>
      <c r="D48" s="68"/>
      <c r="E48" s="68"/>
      <c r="F48" s="68"/>
      <c r="G48" s="68"/>
      <c r="H48" s="68"/>
      <c r="I48" s="68"/>
      <c r="J48" s="68"/>
      <c r="K48" s="68"/>
      <c r="L48" s="69"/>
      <c r="M48" s="68"/>
      <c r="N48" s="70"/>
      <c r="O48" s="70"/>
      <c r="P48" s="71"/>
      <c r="T48" s="62" t="str">
        <f t="shared" si="6"/>
        <v/>
      </c>
      <c r="U48" s="62" t="str">
        <f t="shared" si="4"/>
        <v/>
      </c>
      <c r="V48" s="62" t="str">
        <f t="shared" si="4"/>
        <v/>
      </c>
      <c r="W48" s="62" t="str">
        <f t="shared" si="4"/>
        <v/>
      </c>
      <c r="X48" s="62" t="str">
        <f t="shared" si="4"/>
        <v/>
      </c>
      <c r="Y48" s="62" t="str">
        <f t="shared" si="4"/>
        <v/>
      </c>
      <c r="Z48" s="75" t="str">
        <f t="shared" si="4"/>
        <v/>
      </c>
      <c r="AA48" s="75" t="str">
        <f t="shared" si="4"/>
        <v/>
      </c>
      <c r="AB48" s="75" t="str">
        <f t="shared" si="4"/>
        <v/>
      </c>
      <c r="AC48" s="75" t="str">
        <f t="shared" si="7"/>
        <v/>
      </c>
      <c r="AD48" s="76" t="str">
        <f t="shared" si="8"/>
        <v/>
      </c>
      <c r="AE48" s="56"/>
      <c r="AF48" s="56"/>
      <c r="AG48" s="56"/>
      <c r="AH48" s="56"/>
      <c r="AI48" s="56"/>
      <c r="AJ48" s="56"/>
      <c r="AK48" s="56"/>
      <c r="AL48" s="56"/>
      <c r="AM48" s="56"/>
      <c r="AN48" s="56"/>
      <c r="AO48" s="56"/>
      <c r="AP48" s="56"/>
      <c r="AQ48" s="56"/>
      <c r="AR48" s="56"/>
    </row>
    <row r="49" spans="2:44" x14ac:dyDescent="0.25">
      <c r="B49" s="102"/>
      <c r="C49" s="67"/>
      <c r="D49" s="68"/>
      <c r="E49" s="68"/>
      <c r="F49" s="68"/>
      <c r="G49" s="68"/>
      <c r="H49" s="68"/>
      <c r="I49" s="68"/>
      <c r="J49" s="68"/>
      <c r="K49" s="68"/>
      <c r="L49" s="69"/>
      <c r="M49" s="68"/>
      <c r="N49" s="70"/>
      <c r="O49" s="70"/>
      <c r="P49" s="71"/>
      <c r="T49" s="62" t="str">
        <f t="shared" si="6"/>
        <v/>
      </c>
      <c r="U49" s="62" t="str">
        <f t="shared" si="4"/>
        <v/>
      </c>
      <c r="V49" s="62" t="str">
        <f t="shared" si="4"/>
        <v/>
      </c>
      <c r="W49" s="62" t="str">
        <f t="shared" si="4"/>
        <v/>
      </c>
      <c r="X49" s="62" t="str">
        <f t="shared" si="4"/>
        <v/>
      </c>
      <c r="Y49" s="62" t="str">
        <f t="shared" si="4"/>
        <v/>
      </c>
      <c r="Z49" s="75" t="str">
        <f t="shared" si="4"/>
        <v/>
      </c>
      <c r="AA49" s="75" t="str">
        <f t="shared" si="4"/>
        <v/>
      </c>
      <c r="AB49" s="75" t="str">
        <f t="shared" si="4"/>
        <v/>
      </c>
      <c r="AC49" s="75" t="str">
        <f t="shared" si="7"/>
        <v/>
      </c>
      <c r="AD49" s="76" t="str">
        <f t="shared" si="8"/>
        <v/>
      </c>
      <c r="AE49" s="56"/>
      <c r="AF49" s="56"/>
      <c r="AG49" s="56"/>
      <c r="AH49" s="56"/>
      <c r="AI49" s="56"/>
      <c r="AJ49" s="56"/>
      <c r="AK49" s="56"/>
      <c r="AL49" s="56"/>
      <c r="AM49" s="56"/>
      <c r="AN49" s="56"/>
      <c r="AO49" s="56"/>
      <c r="AP49" s="56"/>
      <c r="AQ49" s="56"/>
      <c r="AR49" s="56"/>
    </row>
    <row r="50" spans="2:44" x14ac:dyDescent="0.25">
      <c r="B50" s="103"/>
      <c r="C50" s="67"/>
      <c r="D50" s="68"/>
      <c r="E50" s="68"/>
      <c r="F50" s="68"/>
      <c r="G50" s="68"/>
      <c r="H50" s="68"/>
      <c r="I50" s="68"/>
      <c r="J50" s="68"/>
      <c r="K50" s="68"/>
      <c r="L50" s="69"/>
      <c r="M50" s="68"/>
      <c r="N50" s="70"/>
      <c r="O50" s="70"/>
      <c r="P50" s="71"/>
      <c r="T50" s="62" t="str">
        <f t="shared" si="6"/>
        <v/>
      </c>
      <c r="U50" s="62" t="str">
        <f t="shared" si="4"/>
        <v/>
      </c>
      <c r="V50" s="62" t="str">
        <f t="shared" si="4"/>
        <v/>
      </c>
      <c r="W50" s="62" t="str">
        <f t="shared" si="4"/>
        <v/>
      </c>
      <c r="X50" s="62" t="str">
        <f t="shared" si="4"/>
        <v/>
      </c>
      <c r="Y50" s="62" t="str">
        <f t="shared" si="4"/>
        <v/>
      </c>
      <c r="Z50" s="75" t="str">
        <f t="shared" si="4"/>
        <v/>
      </c>
      <c r="AA50" s="75" t="str">
        <f t="shared" si="4"/>
        <v/>
      </c>
      <c r="AB50" s="75" t="str">
        <f t="shared" si="4"/>
        <v/>
      </c>
      <c r="AC50" s="75" t="str">
        <f t="shared" si="7"/>
        <v/>
      </c>
      <c r="AD50" s="76" t="str">
        <f t="shared" si="8"/>
        <v/>
      </c>
      <c r="AE50" s="56"/>
      <c r="AF50" s="56"/>
      <c r="AG50" s="56"/>
      <c r="AH50" s="56"/>
      <c r="AI50" s="56"/>
      <c r="AJ50" s="56"/>
      <c r="AK50" s="56"/>
      <c r="AL50" s="56"/>
      <c r="AM50" s="56"/>
      <c r="AN50" s="56"/>
      <c r="AO50" s="56"/>
      <c r="AP50" s="56"/>
      <c r="AQ50" s="56"/>
      <c r="AR50" s="56"/>
    </row>
    <row r="51" spans="2:44" x14ac:dyDescent="0.25">
      <c r="B51" s="104"/>
      <c r="C51" s="67"/>
      <c r="D51" s="68"/>
      <c r="E51" s="68"/>
      <c r="F51" s="68"/>
      <c r="G51" s="68"/>
      <c r="H51" s="68"/>
      <c r="I51" s="68"/>
      <c r="J51" s="68"/>
      <c r="K51" s="68"/>
      <c r="L51" s="69"/>
      <c r="M51" s="68"/>
      <c r="N51" s="70"/>
      <c r="O51" s="70"/>
      <c r="P51" s="71"/>
      <c r="T51" s="62" t="str">
        <f t="shared" si="6"/>
        <v/>
      </c>
      <c r="U51" s="62" t="str">
        <f t="shared" si="4"/>
        <v/>
      </c>
      <c r="V51" s="62" t="str">
        <f t="shared" si="4"/>
        <v/>
      </c>
      <c r="W51" s="62" t="str">
        <f t="shared" si="4"/>
        <v/>
      </c>
      <c r="X51" s="62" t="str">
        <f t="shared" si="4"/>
        <v/>
      </c>
      <c r="Y51" s="62" t="str">
        <f t="shared" si="4"/>
        <v/>
      </c>
      <c r="Z51" s="75" t="str">
        <f t="shared" si="4"/>
        <v/>
      </c>
      <c r="AA51" s="75" t="str">
        <f t="shared" si="4"/>
        <v/>
      </c>
      <c r="AB51" s="75" t="str">
        <f t="shared" si="4"/>
        <v/>
      </c>
      <c r="AC51" s="75" t="str">
        <f t="shared" si="7"/>
        <v/>
      </c>
      <c r="AD51" s="76" t="str">
        <f t="shared" si="8"/>
        <v/>
      </c>
      <c r="AE51" s="56"/>
      <c r="AF51" s="56"/>
      <c r="AG51" s="56"/>
      <c r="AH51" s="56"/>
      <c r="AI51" s="56"/>
      <c r="AJ51" s="56"/>
      <c r="AK51" s="56"/>
      <c r="AL51" s="56"/>
      <c r="AM51" s="56"/>
      <c r="AN51" s="56"/>
      <c r="AO51" s="56"/>
      <c r="AP51" s="56"/>
      <c r="AQ51" s="56"/>
      <c r="AR51" s="56"/>
    </row>
    <row r="52" spans="2:44" x14ac:dyDescent="0.25">
      <c r="B52" s="105"/>
      <c r="C52" s="67"/>
      <c r="D52" s="68"/>
      <c r="E52" s="68"/>
      <c r="F52" s="68"/>
      <c r="G52" s="68"/>
      <c r="H52" s="68"/>
      <c r="I52" s="68"/>
      <c r="J52" s="68"/>
      <c r="K52" s="68"/>
      <c r="L52" s="69"/>
      <c r="M52" s="68"/>
      <c r="N52" s="70"/>
      <c r="O52" s="70"/>
      <c r="P52" s="71"/>
      <c r="T52" s="62" t="str">
        <f t="shared" si="6"/>
        <v/>
      </c>
      <c r="U52" s="62" t="str">
        <f t="shared" si="4"/>
        <v/>
      </c>
      <c r="V52" s="62" t="str">
        <f t="shared" si="4"/>
        <v/>
      </c>
      <c r="W52" s="62" t="str">
        <f t="shared" si="4"/>
        <v/>
      </c>
      <c r="X52" s="62" t="str">
        <f t="shared" si="4"/>
        <v/>
      </c>
      <c r="Y52" s="62" t="str">
        <f t="shared" si="4"/>
        <v/>
      </c>
      <c r="Z52" s="75" t="str">
        <f t="shared" si="4"/>
        <v/>
      </c>
      <c r="AA52" s="75" t="str">
        <f t="shared" si="4"/>
        <v/>
      </c>
      <c r="AB52" s="75" t="str">
        <f t="shared" si="4"/>
        <v/>
      </c>
      <c r="AC52" s="75" t="str">
        <f t="shared" si="7"/>
        <v/>
      </c>
      <c r="AD52" s="76" t="str">
        <f t="shared" si="8"/>
        <v/>
      </c>
      <c r="AE52" s="56"/>
      <c r="AF52" s="56"/>
      <c r="AG52" s="56"/>
      <c r="AH52" s="56"/>
      <c r="AI52" s="56"/>
      <c r="AJ52" s="56"/>
      <c r="AK52" s="56"/>
      <c r="AL52" s="56"/>
      <c r="AM52" s="56"/>
      <c r="AN52" s="56"/>
      <c r="AO52" s="56"/>
      <c r="AP52" s="56"/>
      <c r="AQ52" s="56"/>
      <c r="AR52" s="56"/>
    </row>
    <row r="53" spans="2:44" x14ac:dyDescent="0.25">
      <c r="B53" s="103"/>
      <c r="C53" s="67"/>
      <c r="D53" s="68"/>
      <c r="E53" s="68"/>
      <c r="F53" s="68"/>
      <c r="G53" s="68"/>
      <c r="H53" s="68"/>
      <c r="I53" s="68"/>
      <c r="J53" s="68"/>
      <c r="K53" s="68"/>
      <c r="L53" s="69"/>
      <c r="M53" s="68"/>
      <c r="N53" s="70"/>
      <c r="O53" s="70"/>
      <c r="P53" s="71"/>
      <c r="T53" s="62" t="str">
        <f t="shared" si="6"/>
        <v/>
      </c>
      <c r="U53" s="62" t="str">
        <f t="shared" si="6"/>
        <v/>
      </c>
      <c r="V53" s="62" t="str">
        <f t="shared" si="6"/>
        <v/>
      </c>
      <c r="W53" s="62" t="str">
        <f t="shared" si="6"/>
        <v/>
      </c>
      <c r="X53" s="62" t="str">
        <f t="shared" si="6"/>
        <v/>
      </c>
      <c r="Y53" s="62" t="str">
        <f t="shared" si="6"/>
        <v/>
      </c>
      <c r="Z53" s="75" t="str">
        <f t="shared" si="6"/>
        <v/>
      </c>
      <c r="AA53" s="75" t="str">
        <f t="shared" si="6"/>
        <v/>
      </c>
      <c r="AB53" s="75" t="str">
        <f t="shared" si="6"/>
        <v/>
      </c>
      <c r="AC53" s="75" t="str">
        <f t="shared" si="7"/>
        <v/>
      </c>
      <c r="AD53" s="76" t="str">
        <f t="shared" si="8"/>
        <v/>
      </c>
      <c r="AE53" s="56"/>
      <c r="AF53" s="56"/>
      <c r="AG53" s="56"/>
      <c r="AH53" s="56"/>
      <c r="AI53" s="56"/>
      <c r="AJ53" s="56"/>
      <c r="AK53" s="56"/>
      <c r="AL53" s="56"/>
      <c r="AM53" s="56"/>
      <c r="AN53" s="56"/>
      <c r="AO53" s="56"/>
      <c r="AP53" s="56"/>
      <c r="AQ53" s="56"/>
      <c r="AR53" s="56"/>
    </row>
    <row r="54" spans="2:44" x14ac:dyDescent="0.25">
      <c r="B54" s="104"/>
      <c r="C54" s="67"/>
      <c r="D54" s="68"/>
      <c r="E54" s="68"/>
      <c r="F54" s="68"/>
      <c r="G54" s="68"/>
      <c r="H54" s="68"/>
      <c r="I54" s="68"/>
      <c r="J54" s="68"/>
      <c r="K54" s="68"/>
      <c r="L54" s="69"/>
      <c r="M54" s="68"/>
      <c r="N54" s="70"/>
      <c r="O54" s="70"/>
      <c r="P54" s="71"/>
      <c r="T54" s="62" t="str">
        <f t="shared" si="6"/>
        <v/>
      </c>
      <c r="U54" s="62" t="str">
        <f t="shared" si="6"/>
        <v/>
      </c>
      <c r="V54" s="62" t="str">
        <f t="shared" si="6"/>
        <v/>
      </c>
      <c r="W54" s="62" t="str">
        <f t="shared" si="6"/>
        <v/>
      </c>
      <c r="X54" s="62" t="str">
        <f t="shared" si="6"/>
        <v/>
      </c>
      <c r="Y54" s="62" t="str">
        <f t="shared" si="6"/>
        <v/>
      </c>
      <c r="Z54" s="75" t="str">
        <f t="shared" si="6"/>
        <v/>
      </c>
      <c r="AA54" s="75" t="str">
        <f t="shared" si="6"/>
        <v/>
      </c>
      <c r="AB54" s="75" t="str">
        <f t="shared" si="6"/>
        <v/>
      </c>
      <c r="AC54" s="75" t="str">
        <f t="shared" si="7"/>
        <v/>
      </c>
      <c r="AD54" s="76" t="str">
        <f t="shared" si="8"/>
        <v/>
      </c>
      <c r="AE54" s="56"/>
      <c r="AF54" s="56"/>
      <c r="AG54" s="56"/>
      <c r="AH54" s="56"/>
      <c r="AI54" s="56"/>
      <c r="AJ54" s="56"/>
      <c r="AK54" s="56"/>
      <c r="AL54" s="56"/>
      <c r="AM54" s="56"/>
      <c r="AN54" s="56"/>
      <c r="AO54" s="56"/>
      <c r="AP54" s="56"/>
      <c r="AQ54" s="56"/>
      <c r="AR54" s="56"/>
    </row>
    <row r="55" spans="2:44" x14ac:dyDescent="0.25">
      <c r="B55" s="105"/>
      <c r="C55" s="67"/>
      <c r="D55" s="68"/>
      <c r="E55" s="68"/>
      <c r="F55" s="68"/>
      <c r="G55" s="68"/>
      <c r="H55" s="68"/>
      <c r="I55" s="68"/>
      <c r="J55" s="68"/>
      <c r="K55" s="68"/>
      <c r="L55" s="69"/>
      <c r="M55" s="68"/>
      <c r="N55" s="70"/>
      <c r="O55" s="70"/>
      <c r="P55" s="71"/>
      <c r="T55" s="62" t="str">
        <f t="shared" si="6"/>
        <v/>
      </c>
      <c r="U55" s="62" t="str">
        <f t="shared" si="6"/>
        <v/>
      </c>
      <c r="V55" s="62" t="str">
        <f t="shared" si="6"/>
        <v/>
      </c>
      <c r="W55" s="62" t="str">
        <f t="shared" si="6"/>
        <v/>
      </c>
      <c r="X55" s="62" t="str">
        <f t="shared" si="6"/>
        <v/>
      </c>
      <c r="Y55" s="62" t="str">
        <f t="shared" si="6"/>
        <v/>
      </c>
      <c r="Z55" s="75" t="str">
        <f t="shared" si="6"/>
        <v/>
      </c>
      <c r="AA55" s="75" t="str">
        <f t="shared" si="6"/>
        <v/>
      </c>
      <c r="AB55" s="75" t="str">
        <f t="shared" si="6"/>
        <v/>
      </c>
      <c r="AC55" s="75" t="str">
        <f t="shared" si="7"/>
        <v/>
      </c>
      <c r="AD55" s="76" t="str">
        <f t="shared" si="8"/>
        <v/>
      </c>
      <c r="AE55" s="56"/>
      <c r="AF55" s="56"/>
      <c r="AG55" s="56"/>
      <c r="AH55" s="56"/>
      <c r="AI55" s="56"/>
      <c r="AJ55" s="56"/>
      <c r="AK55" s="56"/>
      <c r="AL55" s="56"/>
      <c r="AM55" s="56"/>
      <c r="AN55" s="56"/>
      <c r="AO55" s="56"/>
      <c r="AP55" s="56"/>
      <c r="AQ55" s="56"/>
      <c r="AR55" s="56"/>
    </row>
    <row r="56" spans="2:44" x14ac:dyDescent="0.25">
      <c r="B56" s="102"/>
      <c r="C56" s="67"/>
      <c r="D56" s="68"/>
      <c r="E56" s="68"/>
      <c r="F56" s="68"/>
      <c r="G56" s="68"/>
      <c r="H56" s="68"/>
      <c r="I56" s="68"/>
      <c r="J56" s="68"/>
      <c r="K56" s="68"/>
      <c r="L56" s="69"/>
      <c r="M56" s="68"/>
      <c r="N56" s="70"/>
      <c r="O56" s="70"/>
      <c r="P56" s="71"/>
      <c r="T56" s="62" t="str">
        <f t="shared" si="6"/>
        <v/>
      </c>
      <c r="U56" s="62" t="str">
        <f t="shared" si="6"/>
        <v/>
      </c>
      <c r="V56" s="62" t="str">
        <f t="shared" si="6"/>
        <v/>
      </c>
      <c r="W56" s="62" t="str">
        <f t="shared" si="6"/>
        <v/>
      </c>
      <c r="X56" s="62" t="str">
        <f t="shared" si="6"/>
        <v/>
      </c>
      <c r="Y56" s="62" t="str">
        <f t="shared" si="6"/>
        <v/>
      </c>
      <c r="Z56" s="75" t="str">
        <f t="shared" si="6"/>
        <v/>
      </c>
      <c r="AA56" s="75" t="str">
        <f t="shared" si="6"/>
        <v/>
      </c>
      <c r="AB56" s="75" t="str">
        <f t="shared" si="6"/>
        <v/>
      </c>
      <c r="AC56" s="75" t="str">
        <f t="shared" si="7"/>
        <v/>
      </c>
      <c r="AD56" s="76" t="str">
        <f t="shared" si="8"/>
        <v/>
      </c>
      <c r="AE56" s="56"/>
      <c r="AF56" s="56"/>
      <c r="AG56" s="56"/>
      <c r="AH56" s="56"/>
      <c r="AI56" s="56"/>
      <c r="AJ56" s="56"/>
      <c r="AK56" s="56"/>
      <c r="AL56" s="56"/>
      <c r="AM56" s="56"/>
      <c r="AN56" s="56"/>
      <c r="AO56" s="56"/>
      <c r="AP56" s="56"/>
      <c r="AQ56" s="56"/>
      <c r="AR56" s="56"/>
    </row>
    <row r="57" spans="2:44" x14ac:dyDescent="0.25">
      <c r="B57" s="102"/>
      <c r="C57" s="67"/>
      <c r="D57" s="68"/>
      <c r="E57" s="68"/>
      <c r="F57" s="68"/>
      <c r="G57" s="68"/>
      <c r="H57" s="68"/>
      <c r="I57" s="68"/>
      <c r="J57" s="68"/>
      <c r="K57" s="68"/>
      <c r="L57" s="69"/>
      <c r="M57" s="68"/>
      <c r="N57" s="70"/>
      <c r="O57" s="70"/>
      <c r="P57" s="71"/>
      <c r="T57" s="62" t="str">
        <f t="shared" si="6"/>
        <v/>
      </c>
      <c r="U57" s="62" t="str">
        <f t="shared" si="6"/>
        <v/>
      </c>
      <c r="V57" s="62" t="str">
        <f t="shared" si="6"/>
        <v/>
      </c>
      <c r="W57" s="62" t="str">
        <f t="shared" si="6"/>
        <v/>
      </c>
      <c r="X57" s="62" t="str">
        <f t="shared" si="6"/>
        <v/>
      </c>
      <c r="Y57" s="62" t="str">
        <f t="shared" si="6"/>
        <v/>
      </c>
      <c r="Z57" s="75" t="str">
        <f t="shared" si="6"/>
        <v/>
      </c>
      <c r="AA57" s="75" t="str">
        <f t="shared" si="6"/>
        <v/>
      </c>
      <c r="AB57" s="75" t="str">
        <f t="shared" si="6"/>
        <v/>
      </c>
      <c r="AC57" s="75" t="str">
        <f t="shared" si="7"/>
        <v/>
      </c>
      <c r="AD57" s="76" t="str">
        <f t="shared" si="8"/>
        <v/>
      </c>
      <c r="AE57" s="56"/>
      <c r="AF57" s="56"/>
      <c r="AG57" s="56"/>
      <c r="AH57" s="56"/>
      <c r="AI57" s="56"/>
      <c r="AJ57" s="56"/>
      <c r="AK57" s="56"/>
      <c r="AL57" s="56"/>
      <c r="AM57" s="56"/>
      <c r="AN57" s="56"/>
      <c r="AO57" s="56"/>
      <c r="AP57" s="56"/>
      <c r="AQ57" s="56"/>
      <c r="AR57" s="56"/>
    </row>
    <row r="58" spans="2:44" x14ac:dyDescent="0.25">
      <c r="B58" s="102"/>
      <c r="C58" s="67"/>
      <c r="D58" s="68"/>
      <c r="E58" s="68"/>
      <c r="F58" s="68"/>
      <c r="G58" s="68"/>
      <c r="H58" s="68"/>
      <c r="I58" s="68"/>
      <c r="J58" s="68"/>
      <c r="K58" s="68"/>
      <c r="L58" s="69"/>
      <c r="M58" s="68"/>
      <c r="N58" s="70"/>
      <c r="O58" s="70"/>
      <c r="P58" s="71"/>
      <c r="T58" s="62" t="str">
        <f t="shared" si="6"/>
        <v/>
      </c>
      <c r="U58" s="62" t="str">
        <f t="shared" si="6"/>
        <v/>
      </c>
      <c r="V58" s="62" t="str">
        <f t="shared" si="6"/>
        <v/>
      </c>
      <c r="W58" s="62" t="str">
        <f t="shared" si="6"/>
        <v/>
      </c>
      <c r="X58" s="62" t="str">
        <f t="shared" si="6"/>
        <v/>
      </c>
      <c r="Y58" s="62" t="str">
        <f t="shared" si="6"/>
        <v/>
      </c>
      <c r="Z58" s="75" t="str">
        <f t="shared" si="6"/>
        <v/>
      </c>
      <c r="AA58" s="75" t="str">
        <f t="shared" si="6"/>
        <v/>
      </c>
      <c r="AB58" s="75" t="str">
        <f t="shared" si="6"/>
        <v/>
      </c>
      <c r="AC58" s="75" t="str">
        <f t="shared" si="7"/>
        <v/>
      </c>
      <c r="AD58" s="76" t="str">
        <f t="shared" si="8"/>
        <v/>
      </c>
      <c r="AE58" s="56"/>
      <c r="AF58" s="56"/>
      <c r="AG58" s="56"/>
      <c r="AH58" s="56"/>
      <c r="AI58" s="56"/>
      <c r="AJ58" s="56"/>
      <c r="AK58" s="56"/>
      <c r="AL58" s="56"/>
      <c r="AM58" s="56"/>
      <c r="AN58" s="56"/>
      <c r="AO58" s="56"/>
      <c r="AP58" s="56"/>
      <c r="AQ58" s="56"/>
      <c r="AR58" s="56"/>
    </row>
    <row r="59" spans="2:44" x14ac:dyDescent="0.25">
      <c r="B59" s="102"/>
      <c r="C59" s="67"/>
      <c r="D59" s="68"/>
      <c r="E59" s="68"/>
      <c r="F59" s="68"/>
      <c r="G59" s="68"/>
      <c r="H59" s="68"/>
      <c r="I59" s="68"/>
      <c r="J59" s="68"/>
      <c r="K59" s="68"/>
      <c r="L59" s="69"/>
      <c r="M59" s="68"/>
      <c r="N59" s="70"/>
      <c r="O59" s="70"/>
      <c r="P59" s="71"/>
      <c r="T59" s="62" t="str">
        <f t="shared" si="6"/>
        <v/>
      </c>
      <c r="U59" s="62" t="str">
        <f t="shared" si="6"/>
        <v/>
      </c>
      <c r="V59" s="62" t="str">
        <f t="shared" si="6"/>
        <v/>
      </c>
      <c r="W59" s="62" t="str">
        <f t="shared" si="6"/>
        <v/>
      </c>
      <c r="X59" s="62" t="str">
        <f t="shared" si="6"/>
        <v/>
      </c>
      <c r="Y59" s="62" t="str">
        <f t="shared" si="6"/>
        <v/>
      </c>
      <c r="Z59" s="75" t="str">
        <f t="shared" si="6"/>
        <v/>
      </c>
      <c r="AA59" s="75" t="str">
        <f t="shared" si="6"/>
        <v/>
      </c>
      <c r="AB59" s="75" t="str">
        <f t="shared" si="6"/>
        <v/>
      </c>
      <c r="AC59" s="75" t="str">
        <f t="shared" si="7"/>
        <v/>
      </c>
      <c r="AD59" s="76" t="str">
        <f t="shared" si="8"/>
        <v/>
      </c>
      <c r="AE59" s="56"/>
      <c r="AF59" s="56"/>
      <c r="AG59" s="56"/>
      <c r="AH59" s="56"/>
      <c r="AI59" s="56"/>
      <c r="AJ59" s="56"/>
      <c r="AK59" s="56"/>
      <c r="AL59" s="56"/>
      <c r="AM59" s="56"/>
      <c r="AN59" s="56"/>
      <c r="AO59" s="56"/>
      <c r="AP59" s="56"/>
      <c r="AQ59" s="56"/>
      <c r="AR59" s="56"/>
    </row>
    <row r="60" spans="2:44" x14ac:dyDescent="0.25">
      <c r="B60" s="102"/>
      <c r="C60" s="67"/>
      <c r="D60" s="68"/>
      <c r="E60" s="68"/>
      <c r="F60" s="68"/>
      <c r="G60" s="68"/>
      <c r="H60" s="68"/>
      <c r="I60" s="68"/>
      <c r="J60" s="68"/>
      <c r="K60" s="68"/>
      <c r="L60" s="69"/>
      <c r="M60" s="68"/>
      <c r="N60" s="70"/>
      <c r="O60" s="70"/>
      <c r="P60" s="71"/>
      <c r="T60" s="62" t="str">
        <f t="shared" si="6"/>
        <v/>
      </c>
      <c r="U60" s="62" t="str">
        <f t="shared" si="6"/>
        <v/>
      </c>
      <c r="V60" s="62" t="str">
        <f t="shared" si="6"/>
        <v/>
      </c>
      <c r="W60" s="62" t="str">
        <f t="shared" si="6"/>
        <v/>
      </c>
      <c r="X60" s="62" t="str">
        <f t="shared" si="6"/>
        <v/>
      </c>
      <c r="Y60" s="62" t="str">
        <f t="shared" si="6"/>
        <v/>
      </c>
      <c r="Z60" s="75" t="str">
        <f t="shared" si="6"/>
        <v/>
      </c>
      <c r="AA60" s="75" t="str">
        <f t="shared" si="6"/>
        <v/>
      </c>
      <c r="AB60" s="75" t="str">
        <f t="shared" si="6"/>
        <v/>
      </c>
      <c r="AC60" s="75" t="str">
        <f t="shared" si="7"/>
        <v/>
      </c>
      <c r="AD60" s="76" t="str">
        <f t="shared" si="8"/>
        <v/>
      </c>
      <c r="AE60" s="56"/>
      <c r="AF60" s="56"/>
      <c r="AG60" s="56"/>
      <c r="AH60" s="56"/>
      <c r="AI60" s="56"/>
      <c r="AJ60" s="56"/>
      <c r="AK60" s="56"/>
      <c r="AL60" s="56"/>
      <c r="AM60" s="56"/>
      <c r="AN60" s="56"/>
      <c r="AO60" s="56"/>
      <c r="AP60" s="56"/>
      <c r="AQ60" s="56"/>
      <c r="AR60" s="56"/>
    </row>
    <row r="61" spans="2:44" x14ac:dyDescent="0.25">
      <c r="B61" s="103"/>
      <c r="C61" s="67"/>
      <c r="D61" s="68"/>
      <c r="E61" s="68"/>
      <c r="F61" s="68"/>
      <c r="G61" s="68"/>
      <c r="H61" s="68"/>
      <c r="I61" s="68"/>
      <c r="J61" s="68"/>
      <c r="K61" s="68"/>
      <c r="L61" s="69"/>
      <c r="M61" s="68"/>
      <c r="N61" s="70"/>
      <c r="O61" s="70"/>
      <c r="P61" s="71"/>
      <c r="T61" s="62" t="str">
        <f t="shared" si="6"/>
        <v/>
      </c>
      <c r="U61" s="62" t="str">
        <f t="shared" si="6"/>
        <v/>
      </c>
      <c r="V61" s="62" t="str">
        <f t="shared" si="6"/>
        <v/>
      </c>
      <c r="W61" s="62" t="str">
        <f t="shared" si="6"/>
        <v/>
      </c>
      <c r="X61" s="62" t="str">
        <f t="shared" si="6"/>
        <v/>
      </c>
      <c r="Y61" s="62" t="str">
        <f t="shared" si="6"/>
        <v/>
      </c>
      <c r="Z61" s="75" t="str">
        <f t="shared" si="6"/>
        <v/>
      </c>
      <c r="AA61" s="75" t="str">
        <f t="shared" si="6"/>
        <v/>
      </c>
      <c r="AB61" s="75" t="str">
        <f t="shared" si="6"/>
        <v/>
      </c>
      <c r="AC61" s="75" t="str">
        <f t="shared" si="7"/>
        <v/>
      </c>
      <c r="AD61" s="76" t="str">
        <f t="shared" si="8"/>
        <v/>
      </c>
      <c r="AE61" s="56"/>
      <c r="AF61" s="56"/>
      <c r="AG61" s="56"/>
      <c r="AH61" s="56"/>
      <c r="AI61" s="56"/>
      <c r="AJ61" s="56"/>
      <c r="AK61" s="56"/>
      <c r="AL61" s="56"/>
      <c r="AM61" s="56"/>
      <c r="AN61" s="56"/>
      <c r="AO61" s="56"/>
      <c r="AP61" s="56"/>
      <c r="AQ61" s="56"/>
      <c r="AR61" s="56"/>
    </row>
    <row r="62" spans="2:44" x14ac:dyDescent="0.25">
      <c r="B62" s="104"/>
      <c r="C62" s="67"/>
      <c r="D62" s="68"/>
      <c r="E62" s="68"/>
      <c r="F62" s="68"/>
      <c r="G62" s="68"/>
      <c r="H62" s="68"/>
      <c r="I62" s="68"/>
      <c r="J62" s="68"/>
      <c r="K62" s="68"/>
      <c r="L62" s="69"/>
      <c r="M62" s="68"/>
      <c r="N62" s="70"/>
      <c r="O62" s="70"/>
      <c r="P62" s="71"/>
      <c r="T62" s="62" t="str">
        <f t="shared" si="6"/>
        <v/>
      </c>
      <c r="U62" s="62" t="str">
        <f t="shared" si="6"/>
        <v/>
      </c>
      <c r="V62" s="62" t="str">
        <f t="shared" si="6"/>
        <v/>
      </c>
      <c r="W62" s="62" t="str">
        <f t="shared" si="6"/>
        <v/>
      </c>
      <c r="X62" s="62" t="str">
        <f t="shared" si="6"/>
        <v/>
      </c>
      <c r="Y62" s="62" t="str">
        <f t="shared" si="6"/>
        <v/>
      </c>
      <c r="Z62" s="75" t="str">
        <f t="shared" si="6"/>
        <v/>
      </c>
      <c r="AA62" s="75" t="str">
        <f t="shared" si="6"/>
        <v/>
      </c>
      <c r="AB62" s="75" t="str">
        <f t="shared" si="6"/>
        <v/>
      </c>
      <c r="AC62" s="75" t="str">
        <f t="shared" si="7"/>
        <v/>
      </c>
      <c r="AD62" s="76" t="str">
        <f t="shared" si="8"/>
        <v/>
      </c>
      <c r="AE62" s="56"/>
      <c r="AF62" s="56"/>
      <c r="AG62" s="56"/>
      <c r="AH62" s="56"/>
      <c r="AI62" s="56"/>
      <c r="AJ62" s="56"/>
      <c r="AK62" s="56"/>
      <c r="AL62" s="56"/>
      <c r="AM62" s="56"/>
      <c r="AN62" s="56"/>
      <c r="AO62" s="56"/>
      <c r="AP62" s="56"/>
      <c r="AQ62" s="56"/>
      <c r="AR62" s="56"/>
    </row>
    <row r="63" spans="2:44" x14ac:dyDescent="0.25">
      <c r="B63" s="105"/>
      <c r="C63" s="67"/>
      <c r="D63" s="68"/>
      <c r="E63" s="68"/>
      <c r="F63" s="68"/>
      <c r="G63" s="68"/>
      <c r="H63" s="68"/>
      <c r="I63" s="68"/>
      <c r="J63" s="68"/>
      <c r="K63" s="68"/>
      <c r="L63" s="69"/>
      <c r="M63" s="68"/>
      <c r="N63" s="70"/>
      <c r="O63" s="70"/>
      <c r="P63" s="71"/>
      <c r="T63" s="62" t="str">
        <f t="shared" si="6"/>
        <v/>
      </c>
      <c r="U63" s="62" t="str">
        <f t="shared" si="6"/>
        <v/>
      </c>
      <c r="V63" s="62" t="str">
        <f t="shared" si="6"/>
        <v/>
      </c>
      <c r="W63" s="62" t="str">
        <f t="shared" si="6"/>
        <v/>
      </c>
      <c r="X63" s="62" t="str">
        <f t="shared" si="6"/>
        <v/>
      </c>
      <c r="Y63" s="62" t="str">
        <f t="shared" si="6"/>
        <v/>
      </c>
      <c r="Z63" s="75" t="str">
        <f t="shared" si="6"/>
        <v/>
      </c>
      <c r="AA63" s="75" t="str">
        <f t="shared" si="6"/>
        <v/>
      </c>
      <c r="AB63" s="75" t="str">
        <f t="shared" si="6"/>
        <v/>
      </c>
      <c r="AC63" s="75" t="str">
        <f t="shared" si="7"/>
        <v/>
      </c>
      <c r="AD63" s="76" t="str">
        <f t="shared" si="8"/>
        <v/>
      </c>
      <c r="AE63" s="56"/>
      <c r="AF63" s="56"/>
      <c r="AG63" s="56"/>
      <c r="AH63" s="56"/>
      <c r="AI63" s="56"/>
      <c r="AJ63" s="56"/>
      <c r="AK63" s="56"/>
      <c r="AL63" s="56"/>
      <c r="AM63" s="56"/>
      <c r="AN63" s="56"/>
      <c r="AO63" s="56"/>
      <c r="AP63" s="56"/>
      <c r="AQ63" s="56"/>
      <c r="AR63" s="56"/>
    </row>
    <row r="64" spans="2:44" x14ac:dyDescent="0.25">
      <c r="B64" s="103"/>
      <c r="C64" s="67"/>
      <c r="D64" s="68"/>
      <c r="E64" s="68"/>
      <c r="F64" s="68"/>
      <c r="G64" s="68"/>
      <c r="H64" s="68"/>
      <c r="I64" s="68"/>
      <c r="J64" s="68"/>
      <c r="K64" s="68"/>
      <c r="L64" s="69"/>
      <c r="M64" s="68"/>
      <c r="N64" s="70"/>
      <c r="O64" s="70"/>
      <c r="P64" s="71"/>
      <c r="T64" s="62" t="str">
        <f t="shared" si="6"/>
        <v/>
      </c>
      <c r="U64" s="62" t="str">
        <f t="shared" si="6"/>
        <v/>
      </c>
      <c r="V64" s="62" t="str">
        <f t="shared" si="6"/>
        <v/>
      </c>
      <c r="W64" s="62" t="str">
        <f t="shared" si="6"/>
        <v/>
      </c>
      <c r="X64" s="62" t="str">
        <f t="shared" si="6"/>
        <v/>
      </c>
      <c r="Y64" s="62" t="str">
        <f t="shared" si="6"/>
        <v/>
      </c>
      <c r="Z64" s="62" t="str">
        <f t="shared" si="6"/>
        <v/>
      </c>
      <c r="AA64" s="62" t="str">
        <f t="shared" si="6"/>
        <v/>
      </c>
      <c r="AB64" s="62" t="str">
        <f t="shared" si="6"/>
        <v/>
      </c>
      <c r="AC64" s="62" t="str">
        <f t="shared" si="7"/>
        <v/>
      </c>
      <c r="AD64" s="72" t="str">
        <f t="shared" si="8"/>
        <v/>
      </c>
      <c r="AE64" s="58"/>
      <c r="AF64" s="58"/>
    </row>
    <row r="65" spans="2:32" x14ac:dyDescent="0.25">
      <c r="B65" s="104"/>
      <c r="C65" s="67"/>
      <c r="D65" s="68"/>
      <c r="E65" s="68"/>
      <c r="F65" s="68"/>
      <c r="G65" s="68"/>
      <c r="H65" s="68"/>
      <c r="I65" s="68"/>
      <c r="J65" s="68"/>
      <c r="K65" s="68"/>
      <c r="L65" s="69"/>
      <c r="M65" s="68"/>
      <c r="N65" s="70"/>
      <c r="O65" s="70"/>
      <c r="P65" s="71"/>
      <c r="T65" s="62" t="str">
        <f t="shared" si="6"/>
        <v/>
      </c>
      <c r="U65" s="62" t="str">
        <f t="shared" si="6"/>
        <v/>
      </c>
      <c r="V65" s="62" t="str">
        <f t="shared" si="6"/>
        <v/>
      </c>
      <c r="W65" s="62" t="str">
        <f t="shared" si="6"/>
        <v/>
      </c>
      <c r="X65" s="62" t="str">
        <f t="shared" si="6"/>
        <v/>
      </c>
      <c r="Y65" s="62" t="str">
        <f t="shared" si="6"/>
        <v/>
      </c>
      <c r="Z65" s="62" t="str">
        <f t="shared" si="6"/>
        <v/>
      </c>
      <c r="AA65" s="62" t="str">
        <f t="shared" si="6"/>
        <v/>
      </c>
      <c r="AB65" s="62" t="str">
        <f t="shared" si="6"/>
        <v/>
      </c>
      <c r="AC65" s="62" t="str">
        <f t="shared" si="7"/>
        <v/>
      </c>
      <c r="AD65" s="72" t="str">
        <f t="shared" si="8"/>
        <v/>
      </c>
      <c r="AE65" s="58"/>
      <c r="AF65" s="58"/>
    </row>
    <row r="66" spans="2:32" x14ac:dyDescent="0.25">
      <c r="B66" s="105"/>
      <c r="C66" s="67"/>
      <c r="D66" s="68"/>
      <c r="E66" s="68"/>
      <c r="F66" s="68"/>
      <c r="G66" s="68"/>
      <c r="H66" s="68"/>
      <c r="I66" s="68"/>
      <c r="J66" s="68"/>
      <c r="K66" s="68"/>
      <c r="L66" s="69"/>
      <c r="M66" s="68"/>
      <c r="N66" s="70"/>
      <c r="O66" s="70"/>
      <c r="P66" s="71"/>
      <c r="T66" s="62" t="str">
        <f t="shared" si="6"/>
        <v/>
      </c>
      <c r="U66" s="62" t="str">
        <f t="shared" si="6"/>
        <v/>
      </c>
      <c r="V66" s="62" t="str">
        <f t="shared" si="6"/>
        <v/>
      </c>
      <c r="W66" s="62" t="str">
        <f t="shared" si="6"/>
        <v/>
      </c>
      <c r="X66" s="62" t="str">
        <f t="shared" si="6"/>
        <v/>
      </c>
      <c r="Y66" s="62" t="str">
        <f t="shared" si="6"/>
        <v/>
      </c>
      <c r="Z66" s="62" t="str">
        <f t="shared" si="6"/>
        <v/>
      </c>
      <c r="AA66" s="62" t="str">
        <f t="shared" si="6"/>
        <v/>
      </c>
      <c r="AB66" s="62" t="str">
        <f t="shared" si="6"/>
        <v/>
      </c>
      <c r="AC66" s="62" t="str">
        <f t="shared" si="7"/>
        <v/>
      </c>
      <c r="AD66" s="72" t="str">
        <f t="shared" si="8"/>
        <v/>
      </c>
      <c r="AE66" s="58"/>
      <c r="AF66" s="58"/>
    </row>
    <row r="67" spans="2:32" x14ac:dyDescent="0.25">
      <c r="B67" s="102"/>
      <c r="C67" s="67"/>
      <c r="D67" s="68"/>
      <c r="E67" s="68"/>
      <c r="F67" s="68"/>
      <c r="G67" s="68"/>
      <c r="H67" s="68"/>
      <c r="I67" s="68"/>
      <c r="J67" s="68"/>
      <c r="K67" s="68"/>
      <c r="L67" s="69"/>
      <c r="M67" s="68"/>
      <c r="N67" s="70"/>
      <c r="O67" s="70"/>
      <c r="P67" s="71"/>
      <c r="T67" s="62" t="str">
        <f t="shared" si="6"/>
        <v/>
      </c>
      <c r="U67" s="62" t="str">
        <f t="shared" si="6"/>
        <v/>
      </c>
      <c r="V67" s="62" t="str">
        <f t="shared" si="6"/>
        <v/>
      </c>
      <c r="W67" s="62" t="str">
        <f t="shared" si="6"/>
        <v/>
      </c>
      <c r="X67" s="62" t="str">
        <f t="shared" si="6"/>
        <v/>
      </c>
      <c r="Y67" s="62" t="str">
        <f t="shared" si="6"/>
        <v/>
      </c>
      <c r="Z67" s="62" t="str">
        <f t="shared" si="6"/>
        <v/>
      </c>
      <c r="AA67" s="62" t="str">
        <f t="shared" si="6"/>
        <v/>
      </c>
      <c r="AB67" s="62" t="str">
        <f t="shared" si="6"/>
        <v/>
      </c>
      <c r="AC67" s="62" t="str">
        <f t="shared" si="7"/>
        <v/>
      </c>
      <c r="AD67" s="72" t="str">
        <f t="shared" si="8"/>
        <v/>
      </c>
      <c r="AE67" s="58"/>
      <c r="AF67" s="58"/>
    </row>
    <row r="68" spans="2:32" x14ac:dyDescent="0.25">
      <c r="B68" s="102"/>
      <c r="C68" s="67"/>
      <c r="D68" s="68"/>
      <c r="E68" s="68"/>
      <c r="F68" s="68"/>
      <c r="G68" s="68"/>
      <c r="H68" s="68"/>
      <c r="I68" s="68"/>
      <c r="J68" s="68"/>
      <c r="K68" s="68"/>
      <c r="L68" s="69"/>
      <c r="M68" s="68"/>
      <c r="N68" s="70"/>
      <c r="O68" s="70"/>
      <c r="P68" s="71"/>
      <c r="T68" s="62" t="str">
        <f t="shared" si="6"/>
        <v/>
      </c>
      <c r="U68" s="62" t="str">
        <f t="shared" si="6"/>
        <v/>
      </c>
      <c r="V68" s="62" t="str">
        <f t="shared" si="6"/>
        <v/>
      </c>
      <c r="W68" s="62" t="str">
        <f t="shared" si="6"/>
        <v/>
      </c>
      <c r="X68" s="62" t="str">
        <f t="shared" si="6"/>
        <v/>
      </c>
      <c r="Y68" s="62" t="str">
        <f t="shared" si="6"/>
        <v/>
      </c>
      <c r="Z68" s="62" t="str">
        <f t="shared" si="6"/>
        <v/>
      </c>
      <c r="AA68" s="62" t="str">
        <f t="shared" si="6"/>
        <v/>
      </c>
      <c r="AB68" s="62" t="str">
        <f t="shared" si="6"/>
        <v/>
      </c>
      <c r="AC68" s="62" t="str">
        <f t="shared" si="7"/>
        <v/>
      </c>
      <c r="AD68" s="72" t="str">
        <f t="shared" si="8"/>
        <v/>
      </c>
      <c r="AE68" s="58"/>
      <c r="AF68" s="58"/>
    </row>
    <row r="69" spans="2:32" x14ac:dyDescent="0.25">
      <c r="B69" s="102"/>
      <c r="C69" s="67"/>
      <c r="D69" s="68"/>
      <c r="E69" s="68"/>
      <c r="F69" s="68"/>
      <c r="G69" s="68"/>
      <c r="H69" s="68"/>
      <c r="I69" s="68"/>
      <c r="J69" s="68"/>
      <c r="K69" s="68"/>
      <c r="L69" s="69"/>
      <c r="M69" s="68"/>
      <c r="N69" s="70"/>
      <c r="O69" s="70"/>
      <c r="P69" s="71"/>
      <c r="T69" s="62" t="str">
        <f t="shared" si="6"/>
        <v/>
      </c>
      <c r="U69" s="62" t="str">
        <f t="shared" si="6"/>
        <v/>
      </c>
      <c r="V69" s="62" t="str">
        <f t="shared" si="6"/>
        <v/>
      </c>
      <c r="W69" s="62" t="str">
        <f t="shared" si="6"/>
        <v/>
      </c>
      <c r="X69" s="62" t="str">
        <f t="shared" si="6"/>
        <v/>
      </c>
      <c r="Y69" s="62" t="str">
        <f t="shared" si="6"/>
        <v/>
      </c>
      <c r="Z69" s="62" t="str">
        <f t="shared" si="6"/>
        <v/>
      </c>
      <c r="AA69" s="62" t="str">
        <f t="shared" si="6"/>
        <v/>
      </c>
      <c r="AB69" s="62" t="str">
        <f t="shared" si="6"/>
        <v/>
      </c>
      <c r="AC69" s="62" t="str">
        <f t="shared" si="7"/>
        <v/>
      </c>
      <c r="AD69" s="72" t="str">
        <f t="shared" si="8"/>
        <v/>
      </c>
      <c r="AE69" s="58"/>
      <c r="AF69" s="58"/>
    </row>
    <row r="70" spans="2:32" x14ac:dyDescent="0.25">
      <c r="B70" s="102"/>
      <c r="C70" s="67"/>
      <c r="D70" s="68"/>
      <c r="E70" s="68"/>
      <c r="F70" s="68"/>
      <c r="G70" s="68"/>
      <c r="H70" s="68"/>
      <c r="I70" s="68"/>
      <c r="J70" s="68"/>
      <c r="K70" s="68"/>
      <c r="L70" s="69"/>
      <c r="M70" s="68"/>
      <c r="N70" s="70"/>
      <c r="O70" s="70"/>
      <c r="P70" s="71"/>
      <c r="T70" s="62" t="str">
        <f t="shared" si="6"/>
        <v/>
      </c>
      <c r="U70" s="62" t="str">
        <f t="shared" si="6"/>
        <v/>
      </c>
      <c r="V70" s="62" t="str">
        <f t="shared" si="6"/>
        <v/>
      </c>
      <c r="W70" s="62" t="str">
        <f t="shared" si="6"/>
        <v/>
      </c>
      <c r="X70" s="62" t="str">
        <f t="shared" si="6"/>
        <v/>
      </c>
      <c r="Y70" s="62" t="str">
        <f t="shared" si="6"/>
        <v/>
      </c>
      <c r="Z70" s="62" t="str">
        <f t="shared" si="6"/>
        <v/>
      </c>
      <c r="AA70" s="62" t="str">
        <f t="shared" si="6"/>
        <v/>
      </c>
      <c r="AB70" s="62" t="str">
        <f t="shared" si="6"/>
        <v/>
      </c>
      <c r="AC70" s="62" t="str">
        <f t="shared" si="7"/>
        <v/>
      </c>
      <c r="AD70" s="72" t="str">
        <f t="shared" si="8"/>
        <v/>
      </c>
      <c r="AE70" s="58"/>
      <c r="AF70" s="58"/>
    </row>
    <row r="71" spans="2:32" x14ac:dyDescent="0.25">
      <c r="B71" s="102"/>
      <c r="C71" s="67"/>
      <c r="D71" s="68"/>
      <c r="E71" s="68"/>
      <c r="F71" s="68"/>
      <c r="G71" s="68"/>
      <c r="H71" s="68"/>
      <c r="I71" s="68"/>
      <c r="J71" s="68"/>
      <c r="K71" s="68"/>
      <c r="L71" s="69"/>
      <c r="M71" s="68"/>
      <c r="N71" s="70"/>
      <c r="O71" s="70"/>
      <c r="P71" s="71"/>
      <c r="T71" s="62" t="str">
        <f t="shared" si="6"/>
        <v/>
      </c>
      <c r="U71" s="62" t="str">
        <f t="shared" si="6"/>
        <v/>
      </c>
      <c r="V71" s="62" t="str">
        <f t="shared" si="6"/>
        <v/>
      </c>
      <c r="W71" s="62" t="str">
        <f t="shared" si="6"/>
        <v/>
      </c>
      <c r="X71" s="62" t="str">
        <f t="shared" si="6"/>
        <v/>
      </c>
      <c r="Y71" s="62" t="str">
        <f t="shared" si="6"/>
        <v/>
      </c>
      <c r="Z71" s="62" t="str">
        <f t="shared" si="6"/>
        <v/>
      </c>
      <c r="AA71" s="62" t="str">
        <f t="shared" si="6"/>
        <v/>
      </c>
      <c r="AB71" s="62" t="str">
        <f t="shared" si="6"/>
        <v/>
      </c>
      <c r="AC71" s="62" t="str">
        <f t="shared" si="7"/>
        <v/>
      </c>
      <c r="AD71" s="72" t="str">
        <f t="shared" si="8"/>
        <v/>
      </c>
      <c r="AE71" s="58"/>
      <c r="AF71" s="58"/>
    </row>
    <row r="72" spans="2:32" x14ac:dyDescent="0.25">
      <c r="T72" s="58"/>
      <c r="U72" s="58"/>
      <c r="V72" s="58"/>
      <c r="W72" s="58"/>
      <c r="X72" s="58"/>
      <c r="Y72" s="58"/>
      <c r="Z72" s="58"/>
      <c r="AA72" s="58"/>
      <c r="AB72" s="58"/>
      <c r="AC72" s="58"/>
      <c r="AD72" s="58"/>
      <c r="AE72" s="58"/>
      <c r="AF72" s="58"/>
    </row>
  </sheetData>
  <mergeCells count="62">
    <mergeCell ref="C3:Y12"/>
    <mergeCell ref="B56:B60"/>
    <mergeCell ref="B61:B63"/>
    <mergeCell ref="B64:B66"/>
    <mergeCell ref="B67:B71"/>
    <mergeCell ref="B35:C35"/>
    <mergeCell ref="M35:P35"/>
    <mergeCell ref="B36:C36"/>
    <mergeCell ref="B45:B49"/>
    <mergeCell ref="B50:B52"/>
    <mergeCell ref="B53:B55"/>
    <mergeCell ref="D26:G26"/>
    <mergeCell ref="B34:C34"/>
    <mergeCell ref="J28:M28"/>
    <mergeCell ref="P28:S28"/>
    <mergeCell ref="V28:Y28"/>
    <mergeCell ref="J29:M29"/>
    <mergeCell ref="P29:S29"/>
    <mergeCell ref="V29:Y29"/>
    <mergeCell ref="J30:M30"/>
    <mergeCell ref="P30:S30"/>
    <mergeCell ref="V30:Y30"/>
    <mergeCell ref="B33:C33"/>
    <mergeCell ref="D33:L33"/>
    <mergeCell ref="D27:G27"/>
    <mergeCell ref="J27:M27"/>
    <mergeCell ref="P27:S27"/>
    <mergeCell ref="V27:Y27"/>
    <mergeCell ref="D23:G23"/>
    <mergeCell ref="J23:M23"/>
    <mergeCell ref="P23:S23"/>
    <mergeCell ref="V23:Y23"/>
    <mergeCell ref="D24:G24"/>
    <mergeCell ref="J24:M24"/>
    <mergeCell ref="P24:S24"/>
    <mergeCell ref="V24:Y24"/>
    <mergeCell ref="D25:G25"/>
    <mergeCell ref="J25:M25"/>
    <mergeCell ref="P25:S25"/>
    <mergeCell ref="V25:Y25"/>
    <mergeCell ref="D20:G20"/>
    <mergeCell ref="D21:G21"/>
    <mergeCell ref="I21:Y21"/>
    <mergeCell ref="D22:G22"/>
    <mergeCell ref="J22:M22"/>
    <mergeCell ref="P22:S22"/>
    <mergeCell ref="V22:Y22"/>
    <mergeCell ref="D18:G18"/>
    <mergeCell ref="J18:M18"/>
    <mergeCell ref="P18:S18"/>
    <mergeCell ref="V18:Y18"/>
    <mergeCell ref="D19:G19"/>
    <mergeCell ref="J19:M19"/>
    <mergeCell ref="P19:S19"/>
    <mergeCell ref="V19:Y19"/>
    <mergeCell ref="I15:Y15"/>
    <mergeCell ref="J16:M16"/>
    <mergeCell ref="P16:S16"/>
    <mergeCell ref="V16:Y16"/>
    <mergeCell ref="J17:M17"/>
    <mergeCell ref="P17:S17"/>
    <mergeCell ref="V17:Y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31"/>
  <sheetViews>
    <sheetView showGridLines="0" zoomScale="55" zoomScaleNormal="55" workbookViewId="0">
      <pane ySplit="7" topLeftCell="A8" activePane="bottomLeft" state="frozen"/>
      <selection pane="bottomLeft" activeCell="J15" sqref="J15"/>
    </sheetView>
  </sheetViews>
  <sheetFormatPr baseColWidth="10" defaultColWidth="11.42578125" defaultRowHeight="18.75" x14ac:dyDescent="0.3"/>
  <cols>
    <col min="1" max="1" width="11.42578125" style="1"/>
    <col min="2" max="2" width="20.5703125" style="1" bestFit="1" customWidth="1"/>
    <col min="3" max="3" width="20" style="1" customWidth="1"/>
    <col min="4" max="5" width="25.85546875" style="1" customWidth="1"/>
    <col min="6" max="6" width="13.28515625" style="1" customWidth="1"/>
    <col min="7" max="8" width="19.7109375" style="1" customWidth="1"/>
    <col min="9" max="9" width="19.140625" style="1" customWidth="1"/>
    <col min="10" max="10" width="17.5703125" style="1" customWidth="1"/>
    <col min="11" max="11" width="17.85546875" style="1" customWidth="1"/>
    <col min="12" max="13" width="19" style="1" customWidth="1"/>
    <col min="14" max="14" width="16.28515625" style="1" customWidth="1"/>
    <col min="15" max="15" width="11.42578125" style="1"/>
    <col min="16" max="16" width="18" style="1" customWidth="1"/>
    <col min="17" max="17" width="18.85546875" style="1" customWidth="1"/>
    <col min="18" max="18" width="5.85546875" style="1" customWidth="1"/>
    <col min="19" max="19" width="5.28515625" style="1" customWidth="1"/>
    <col min="20" max="20" width="5.85546875" style="1" customWidth="1"/>
    <col min="21" max="23" width="11.42578125" style="1"/>
    <col min="24" max="24" width="18.7109375" style="1" customWidth="1"/>
    <col min="25" max="25" width="12.140625" style="1" bestFit="1" customWidth="1"/>
    <col min="26" max="26" width="15.7109375" style="1" customWidth="1"/>
    <col min="27" max="27" width="15.42578125" style="1" customWidth="1"/>
    <col min="28" max="28" width="14.7109375" style="1" customWidth="1"/>
    <col min="29" max="29" width="17.42578125" style="1" customWidth="1"/>
    <col min="30" max="16384" width="11.42578125" style="1"/>
  </cols>
  <sheetData>
    <row r="1" spans="1:32" ht="67.5" customHeight="1" x14ac:dyDescent="0.3">
      <c r="A1" s="30"/>
      <c r="B1" s="30" t="s">
        <v>156</v>
      </c>
      <c r="C1" s="30" t="s">
        <v>196</v>
      </c>
      <c r="D1" s="30" t="s">
        <v>164</v>
      </c>
      <c r="E1" s="30"/>
      <c r="F1" s="4"/>
      <c r="G1" s="5"/>
      <c r="H1" s="33"/>
      <c r="I1" s="16" t="s">
        <v>32</v>
      </c>
      <c r="J1" s="16" t="s">
        <v>33</v>
      </c>
      <c r="K1" s="16" t="s">
        <v>30</v>
      </c>
      <c r="L1" s="16" t="s">
        <v>31</v>
      </c>
      <c r="M1" s="16" t="s">
        <v>39</v>
      </c>
      <c r="N1" s="16" t="s">
        <v>167</v>
      </c>
      <c r="O1" s="5"/>
      <c r="P1" s="4"/>
      <c r="Q1" s="4"/>
      <c r="R1" s="4"/>
      <c r="S1" s="4"/>
      <c r="T1" s="4"/>
      <c r="U1" s="4"/>
      <c r="V1" s="4"/>
      <c r="W1" s="4"/>
      <c r="X1" s="4"/>
      <c r="Y1" s="4"/>
      <c r="Z1" s="4"/>
      <c r="AA1" s="4"/>
      <c r="AB1" s="4"/>
      <c r="AC1" s="4"/>
      <c r="AD1" s="4"/>
    </row>
    <row r="2" spans="1:32" x14ac:dyDescent="0.3">
      <c r="A2" s="30"/>
      <c r="B2" s="30" t="s">
        <v>157</v>
      </c>
      <c r="C2" s="30" t="s">
        <v>36</v>
      </c>
      <c r="D2" s="30" t="s">
        <v>165</v>
      </c>
      <c r="E2" s="30"/>
      <c r="G2" s="34" t="s">
        <v>17</v>
      </c>
      <c r="H2" s="45" t="s">
        <v>15</v>
      </c>
      <c r="I2" s="45">
        <v>5</v>
      </c>
      <c r="J2" s="45">
        <v>3</v>
      </c>
      <c r="K2" s="45">
        <v>1</v>
      </c>
      <c r="L2" s="45">
        <v>2</v>
      </c>
      <c r="M2" s="45">
        <v>1</v>
      </c>
      <c r="N2" s="45">
        <v>2</v>
      </c>
      <c r="O2" s="108" t="s">
        <v>14</v>
      </c>
      <c r="P2" s="108"/>
      <c r="Q2" s="108"/>
      <c r="R2" s="108"/>
      <c r="S2" s="108"/>
      <c r="T2" s="108"/>
      <c r="U2" s="108"/>
      <c r="V2" s="108"/>
      <c r="W2" s="108"/>
      <c r="X2" s="4"/>
      <c r="Y2" s="4"/>
      <c r="Z2" s="4"/>
      <c r="AA2" s="4"/>
      <c r="AB2" s="4"/>
      <c r="AC2" s="4"/>
      <c r="AD2" s="4"/>
    </row>
    <row r="3" spans="1:32" ht="37.5" x14ac:dyDescent="0.3">
      <c r="A3" s="30"/>
      <c r="B3" s="30" t="s">
        <v>158</v>
      </c>
      <c r="C3" s="30" t="s">
        <v>8</v>
      </c>
      <c r="D3" s="30"/>
      <c r="E3" s="30"/>
      <c r="G3" s="29" t="s">
        <v>4</v>
      </c>
      <c r="H3" s="29" t="s">
        <v>3</v>
      </c>
      <c r="I3" s="3" t="s">
        <v>35</v>
      </c>
      <c r="J3" s="3" t="s">
        <v>6</v>
      </c>
      <c r="K3" s="3" t="s">
        <v>166</v>
      </c>
      <c r="L3" s="3" t="s">
        <v>159</v>
      </c>
      <c r="M3" s="3" t="s">
        <v>5</v>
      </c>
      <c r="N3" s="3" t="s">
        <v>7</v>
      </c>
      <c r="O3" s="4"/>
      <c r="P3" s="43"/>
      <c r="Q3" s="44"/>
      <c r="R3" s="44"/>
      <c r="S3" s="44"/>
      <c r="T3" s="44"/>
      <c r="U3" s="4"/>
      <c r="AA3" s="4"/>
      <c r="AB3" s="4"/>
      <c r="AC3" s="4"/>
      <c r="AD3" s="4"/>
    </row>
    <row r="4" spans="1:32" ht="56.25" customHeight="1" x14ac:dyDescent="0.3">
      <c r="A4" s="30"/>
      <c r="B4" s="138" t="s">
        <v>199</v>
      </c>
      <c r="C4" s="139"/>
      <c r="D4" s="139"/>
      <c r="E4" s="139"/>
      <c r="F4" s="140"/>
      <c r="G4" s="29">
        <v>-1</v>
      </c>
      <c r="H4" s="29" t="s">
        <v>0</v>
      </c>
      <c r="I4" s="2" t="s">
        <v>36</v>
      </c>
      <c r="J4" s="2" t="s">
        <v>11</v>
      </c>
      <c r="K4" s="2" t="s">
        <v>198</v>
      </c>
      <c r="L4" s="2" t="s">
        <v>162</v>
      </c>
      <c r="M4" s="2" t="s">
        <v>168</v>
      </c>
      <c r="N4" s="2" t="s">
        <v>25</v>
      </c>
      <c r="O4" s="115" t="s">
        <v>40</v>
      </c>
      <c r="P4" s="115"/>
      <c r="Q4" s="112" t="s">
        <v>41</v>
      </c>
      <c r="R4" s="113"/>
      <c r="S4" s="113"/>
      <c r="T4" s="114"/>
      <c r="U4" s="109" t="s">
        <v>28</v>
      </c>
      <c r="V4" s="110"/>
      <c r="W4" s="111"/>
      <c r="Z4" s="4"/>
      <c r="AA4" s="4"/>
      <c r="AB4" s="4"/>
      <c r="AC4" s="4"/>
      <c r="AD4" s="4"/>
    </row>
    <row r="5" spans="1:32" ht="37.5" customHeight="1" x14ac:dyDescent="0.3">
      <c r="A5" s="4"/>
      <c r="B5" s="141"/>
      <c r="C5" s="142"/>
      <c r="D5" s="142"/>
      <c r="E5" s="142"/>
      <c r="F5" s="143"/>
      <c r="G5" s="29">
        <v>0</v>
      </c>
      <c r="H5" s="29" t="s">
        <v>1</v>
      </c>
      <c r="I5" s="2" t="s">
        <v>8</v>
      </c>
      <c r="J5" s="2" t="s">
        <v>9</v>
      </c>
      <c r="K5" s="2" t="s">
        <v>38</v>
      </c>
      <c r="L5" s="2" t="s">
        <v>161</v>
      </c>
      <c r="M5" s="2" t="s">
        <v>42</v>
      </c>
      <c r="N5" s="2" t="s">
        <v>24</v>
      </c>
      <c r="O5" s="115" t="s">
        <v>21</v>
      </c>
      <c r="P5" s="115"/>
      <c r="Q5" s="115" t="s">
        <v>29</v>
      </c>
      <c r="R5" s="115"/>
      <c r="S5" s="115"/>
      <c r="T5" s="115"/>
      <c r="U5" s="134" t="s">
        <v>22</v>
      </c>
      <c r="V5" s="135"/>
      <c r="W5" s="136"/>
      <c r="X5" s="4"/>
      <c r="Y5" s="4"/>
      <c r="Z5" s="4"/>
      <c r="AA5" s="4"/>
      <c r="AB5" s="4"/>
      <c r="AC5" s="4"/>
      <c r="AD5" s="4"/>
    </row>
    <row r="6" spans="1:32" ht="37.5" customHeight="1" x14ac:dyDescent="0.3">
      <c r="A6" s="4"/>
      <c r="B6" s="144"/>
      <c r="C6" s="145"/>
      <c r="D6" s="145"/>
      <c r="E6" s="145"/>
      <c r="F6" s="146"/>
      <c r="G6" s="29">
        <v>1</v>
      </c>
      <c r="H6" s="29" t="s">
        <v>2</v>
      </c>
      <c r="I6" s="2" t="s">
        <v>23</v>
      </c>
      <c r="J6" s="2" t="s">
        <v>10</v>
      </c>
      <c r="K6" s="2" t="s">
        <v>37</v>
      </c>
      <c r="L6" s="2" t="s">
        <v>160</v>
      </c>
      <c r="M6" s="2" t="s">
        <v>12</v>
      </c>
      <c r="N6" s="2" t="s">
        <v>13</v>
      </c>
      <c r="O6" s="137" t="s">
        <v>26</v>
      </c>
      <c r="P6" s="137"/>
      <c r="Q6" s="147" t="s">
        <v>16</v>
      </c>
      <c r="R6" s="148"/>
      <c r="S6" s="148"/>
      <c r="T6" s="148"/>
      <c r="U6" s="148"/>
      <c r="V6" s="148"/>
      <c r="W6" s="149"/>
      <c r="X6" s="107" t="s">
        <v>208</v>
      </c>
      <c r="Y6" s="107"/>
      <c r="Z6" s="107"/>
      <c r="AA6" s="107"/>
      <c r="AB6" s="107"/>
      <c r="AC6" s="107"/>
      <c r="AD6" s="107"/>
      <c r="AE6" s="107"/>
      <c r="AF6" s="107"/>
    </row>
    <row r="7" spans="1:32" ht="37.5" x14ac:dyDescent="0.3">
      <c r="A7" s="4"/>
      <c r="B7" s="3" t="s">
        <v>169</v>
      </c>
      <c r="C7" s="3" t="s">
        <v>200</v>
      </c>
      <c r="D7" s="3" t="s">
        <v>27</v>
      </c>
      <c r="E7" s="3" t="s">
        <v>170</v>
      </c>
      <c r="F7" s="3" t="s">
        <v>193</v>
      </c>
      <c r="G7" s="3" t="s">
        <v>194</v>
      </c>
      <c r="H7" s="3" t="s">
        <v>195</v>
      </c>
      <c r="I7" s="3" t="s">
        <v>35</v>
      </c>
      <c r="J7" s="3" t="s">
        <v>6</v>
      </c>
      <c r="K7" s="3" t="s">
        <v>166</v>
      </c>
      <c r="L7" s="3" t="s">
        <v>159</v>
      </c>
      <c r="M7" s="3" t="s">
        <v>5</v>
      </c>
      <c r="N7" s="3" t="s">
        <v>7</v>
      </c>
      <c r="O7" s="31" t="s">
        <v>14</v>
      </c>
      <c r="P7" s="107" t="s">
        <v>18</v>
      </c>
      <c r="Q7" s="107"/>
      <c r="R7" s="107"/>
      <c r="S7" s="107"/>
      <c r="T7" s="107"/>
      <c r="U7" s="107"/>
      <c r="V7" s="32" t="s">
        <v>19</v>
      </c>
      <c r="W7" s="32" t="s">
        <v>20</v>
      </c>
      <c r="X7" s="3" t="s">
        <v>35</v>
      </c>
      <c r="Y7" s="3" t="s">
        <v>6</v>
      </c>
      <c r="Z7" s="3" t="s">
        <v>166</v>
      </c>
      <c r="AA7" s="3" t="s">
        <v>159</v>
      </c>
      <c r="AB7" s="3" t="s">
        <v>5</v>
      </c>
      <c r="AC7" s="3" t="s">
        <v>7</v>
      </c>
      <c r="AD7" s="31" t="s">
        <v>14</v>
      </c>
      <c r="AE7" s="116" t="s">
        <v>207</v>
      </c>
      <c r="AF7" s="117"/>
    </row>
    <row r="8" spans="1:32" ht="18.75" customHeight="1" x14ac:dyDescent="0.3">
      <c r="A8" s="125" t="s">
        <v>34</v>
      </c>
      <c r="B8" s="118" t="s">
        <v>43</v>
      </c>
      <c r="C8" s="120" t="s">
        <v>201</v>
      </c>
      <c r="D8" s="120" t="s">
        <v>192</v>
      </c>
      <c r="E8" s="120" t="s">
        <v>171</v>
      </c>
      <c r="F8" s="17" t="s">
        <v>158</v>
      </c>
      <c r="G8" s="6" t="s">
        <v>164</v>
      </c>
      <c r="H8" s="6" t="s">
        <v>36</v>
      </c>
      <c r="I8" s="15">
        <v>0</v>
      </c>
      <c r="J8" s="15">
        <v>-1</v>
      </c>
      <c r="K8" s="15">
        <v>1</v>
      </c>
      <c r="L8" s="15">
        <v>1</v>
      </c>
      <c r="M8" s="15">
        <v>0</v>
      </c>
      <c r="N8" s="15">
        <v>-1</v>
      </c>
      <c r="O8" s="6">
        <f>I8*I$2+J8*J$2+K8*K$2+L8*L$2+M8*M$2+N8*N$2</f>
        <v>-2</v>
      </c>
      <c r="P8" s="128"/>
      <c r="Q8" s="129"/>
      <c r="R8" s="129"/>
      <c r="S8" s="129"/>
      <c r="T8" s="129"/>
      <c r="U8" s="130"/>
      <c r="V8" s="7"/>
      <c r="W8" s="8"/>
      <c r="X8" s="6">
        <f>I8</f>
        <v>0</v>
      </c>
      <c r="Y8" s="6">
        <f t="shared" ref="Y8:AC8" si="0">J8</f>
        <v>-1</v>
      </c>
      <c r="Z8" s="6">
        <f t="shared" si="0"/>
        <v>1</v>
      </c>
      <c r="AA8" s="6">
        <f t="shared" si="0"/>
        <v>1</v>
      </c>
      <c r="AB8" s="6">
        <f t="shared" si="0"/>
        <v>0</v>
      </c>
      <c r="AC8" s="6">
        <f t="shared" si="0"/>
        <v>-1</v>
      </c>
      <c r="AD8" s="6">
        <f t="shared" ref="AD8:AD71" si="1">X8*I$2+Y8*J$2+Z8*K$2+AA8*L$2+AB8*M$2+AC8*N$2</f>
        <v>-2</v>
      </c>
      <c r="AE8" s="106"/>
      <c r="AF8" s="106"/>
    </row>
    <row r="9" spans="1:32" x14ac:dyDescent="0.3">
      <c r="A9" s="126"/>
      <c r="B9" s="119"/>
      <c r="C9" s="121"/>
      <c r="D9" s="121"/>
      <c r="E9" s="121"/>
      <c r="F9" s="17" t="s">
        <v>158</v>
      </c>
      <c r="G9" s="6" t="s">
        <v>165</v>
      </c>
      <c r="H9" s="6" t="s">
        <v>36</v>
      </c>
      <c r="I9" s="15">
        <v>1</v>
      </c>
      <c r="J9" s="15">
        <v>1</v>
      </c>
      <c r="K9" s="15">
        <v>1</v>
      </c>
      <c r="L9" s="15">
        <v>1</v>
      </c>
      <c r="M9" s="15">
        <v>1</v>
      </c>
      <c r="N9" s="15">
        <v>1</v>
      </c>
      <c r="O9" s="6">
        <f>I9*I$2+J9*J$2+K9*K$2+L9*L$2+M9*M$2+N9*N$2</f>
        <v>14</v>
      </c>
      <c r="P9" s="21"/>
      <c r="Q9" s="22"/>
      <c r="R9" s="22"/>
      <c r="S9" s="22"/>
      <c r="T9" s="22"/>
      <c r="U9" s="23"/>
      <c r="V9" s="20"/>
      <c r="W9" s="8"/>
      <c r="X9" s="6">
        <f t="shared" ref="X9:X72" si="2">I9</f>
        <v>1</v>
      </c>
      <c r="Y9" s="6">
        <f t="shared" ref="Y9:Y72" si="3">J9</f>
        <v>1</v>
      </c>
      <c r="Z9" s="6">
        <f t="shared" ref="Z9:Z72" si="4">K9</f>
        <v>1</v>
      </c>
      <c r="AA9" s="6">
        <f t="shared" ref="AA9:AA72" si="5">L9</f>
        <v>1</v>
      </c>
      <c r="AB9" s="6">
        <f t="shared" ref="AB9:AB72" si="6">M9</f>
        <v>1</v>
      </c>
      <c r="AC9" s="6">
        <f t="shared" ref="AC9:AC72" si="7">N9</f>
        <v>1</v>
      </c>
      <c r="AD9" s="6">
        <f t="shared" si="1"/>
        <v>14</v>
      </c>
      <c r="AE9" s="106"/>
      <c r="AF9" s="106"/>
    </row>
    <row r="10" spans="1:32" ht="18.75" customHeight="1" x14ac:dyDescent="0.3">
      <c r="A10" s="126"/>
      <c r="B10" s="118" t="s">
        <v>44</v>
      </c>
      <c r="C10" s="120" t="s">
        <v>172</v>
      </c>
      <c r="D10" s="120" t="s">
        <v>192</v>
      </c>
      <c r="E10" s="120" t="s">
        <v>173</v>
      </c>
      <c r="F10" s="17" t="s">
        <v>158</v>
      </c>
      <c r="G10" s="6" t="s">
        <v>164</v>
      </c>
      <c r="H10" s="6" t="s">
        <v>36</v>
      </c>
      <c r="I10" s="15">
        <v>0</v>
      </c>
      <c r="J10" s="15">
        <v>0</v>
      </c>
      <c r="K10" s="15">
        <v>0</v>
      </c>
      <c r="L10" s="15">
        <v>0</v>
      </c>
      <c r="M10" s="15">
        <v>0</v>
      </c>
      <c r="N10" s="15">
        <v>0</v>
      </c>
      <c r="O10" s="6">
        <f t="shared" ref="O10:O34" si="8">I10*I$2+J10*J$2+K10*K$2+L10*L$2+M10*M$2+N10*N$2</f>
        <v>0</v>
      </c>
      <c r="P10" s="21"/>
      <c r="Q10" s="22"/>
      <c r="R10" s="22"/>
      <c r="S10" s="22"/>
      <c r="T10" s="22"/>
      <c r="U10" s="23"/>
      <c r="V10" s="20"/>
      <c r="W10" s="8"/>
      <c r="X10" s="6">
        <f t="shared" si="2"/>
        <v>0</v>
      </c>
      <c r="Y10" s="6">
        <f t="shared" si="3"/>
        <v>0</v>
      </c>
      <c r="Z10" s="6">
        <f t="shared" si="4"/>
        <v>0</v>
      </c>
      <c r="AA10" s="6">
        <f t="shared" si="5"/>
        <v>0</v>
      </c>
      <c r="AB10" s="6">
        <f t="shared" si="6"/>
        <v>0</v>
      </c>
      <c r="AC10" s="6">
        <f t="shared" si="7"/>
        <v>0</v>
      </c>
      <c r="AD10" s="6">
        <f t="shared" si="1"/>
        <v>0</v>
      </c>
      <c r="AE10" s="106"/>
      <c r="AF10" s="106"/>
    </row>
    <row r="11" spans="1:32" x14ac:dyDescent="0.3">
      <c r="A11" s="126"/>
      <c r="B11" s="119"/>
      <c r="C11" s="121"/>
      <c r="D11" s="121"/>
      <c r="E11" s="121"/>
      <c r="F11" s="17" t="s">
        <v>158</v>
      </c>
      <c r="G11" s="6" t="s">
        <v>165</v>
      </c>
      <c r="H11" s="6" t="s">
        <v>36</v>
      </c>
      <c r="I11" s="15">
        <v>-1</v>
      </c>
      <c r="J11" s="15">
        <v>-1</v>
      </c>
      <c r="K11" s="15">
        <v>-1</v>
      </c>
      <c r="L11" s="15">
        <v>-1</v>
      </c>
      <c r="M11" s="15">
        <v>-1</v>
      </c>
      <c r="N11" s="15">
        <v>-1</v>
      </c>
      <c r="O11" s="6">
        <f t="shared" si="8"/>
        <v>-14</v>
      </c>
      <c r="P11" s="131"/>
      <c r="Q11" s="132"/>
      <c r="R11" s="132"/>
      <c r="S11" s="132"/>
      <c r="T11" s="132"/>
      <c r="U11" s="133"/>
      <c r="V11" s="7"/>
      <c r="W11" s="8"/>
      <c r="X11" s="6">
        <f t="shared" si="2"/>
        <v>-1</v>
      </c>
      <c r="Y11" s="6">
        <f t="shared" si="3"/>
        <v>-1</v>
      </c>
      <c r="Z11" s="6">
        <f t="shared" si="4"/>
        <v>-1</v>
      </c>
      <c r="AA11" s="6">
        <f t="shared" si="5"/>
        <v>-1</v>
      </c>
      <c r="AB11" s="6">
        <f t="shared" si="6"/>
        <v>-1</v>
      </c>
      <c r="AC11" s="6">
        <f t="shared" si="7"/>
        <v>-1</v>
      </c>
      <c r="AD11" s="6">
        <f t="shared" si="1"/>
        <v>-14</v>
      </c>
      <c r="AE11" s="106"/>
      <c r="AF11" s="106"/>
    </row>
    <row r="12" spans="1:32" ht="18.75" customHeight="1" x14ac:dyDescent="0.3">
      <c r="A12" s="126"/>
      <c r="B12" s="118" t="s">
        <v>45</v>
      </c>
      <c r="C12" s="120" t="s">
        <v>201</v>
      </c>
      <c r="D12" s="120" t="s">
        <v>192</v>
      </c>
      <c r="E12" s="120" t="s">
        <v>171</v>
      </c>
      <c r="F12" s="17" t="s">
        <v>158</v>
      </c>
      <c r="G12" s="6" t="s">
        <v>164</v>
      </c>
      <c r="H12" s="6" t="s">
        <v>36</v>
      </c>
      <c r="I12" s="15">
        <v>-1</v>
      </c>
      <c r="J12" s="15">
        <v>-1</v>
      </c>
      <c r="K12" s="15">
        <v>-1</v>
      </c>
      <c r="L12" s="15">
        <v>-1</v>
      </c>
      <c r="M12" s="15">
        <v>-1</v>
      </c>
      <c r="N12" s="15">
        <v>-1</v>
      </c>
      <c r="O12" s="6">
        <f t="shared" si="8"/>
        <v>-14</v>
      </c>
      <c r="P12" s="26"/>
      <c r="Q12" s="27"/>
      <c r="R12" s="27"/>
      <c r="S12" s="27"/>
      <c r="T12" s="27"/>
      <c r="U12" s="28"/>
      <c r="V12" s="20"/>
      <c r="W12" s="8"/>
      <c r="X12" s="6">
        <f t="shared" si="2"/>
        <v>-1</v>
      </c>
      <c r="Y12" s="6">
        <f t="shared" si="3"/>
        <v>-1</v>
      </c>
      <c r="Z12" s="6">
        <f t="shared" si="4"/>
        <v>-1</v>
      </c>
      <c r="AA12" s="6">
        <f t="shared" si="5"/>
        <v>-1</v>
      </c>
      <c r="AB12" s="6">
        <f t="shared" si="6"/>
        <v>-1</v>
      </c>
      <c r="AC12" s="6">
        <f t="shared" si="7"/>
        <v>-1</v>
      </c>
      <c r="AD12" s="6">
        <f t="shared" si="1"/>
        <v>-14</v>
      </c>
      <c r="AE12" s="106"/>
      <c r="AF12" s="106"/>
    </row>
    <row r="13" spans="1:32" ht="19.5" customHeight="1" x14ac:dyDescent="0.3">
      <c r="A13" s="126"/>
      <c r="B13" s="119"/>
      <c r="C13" s="121"/>
      <c r="D13" s="121"/>
      <c r="E13" s="121"/>
      <c r="F13" s="17" t="s">
        <v>158</v>
      </c>
      <c r="G13" s="6" t="s">
        <v>165</v>
      </c>
      <c r="H13" s="6" t="s">
        <v>36</v>
      </c>
      <c r="I13" s="15">
        <v>-1</v>
      </c>
      <c r="J13" s="15">
        <v>-1</v>
      </c>
      <c r="K13" s="15">
        <v>-1</v>
      </c>
      <c r="L13" s="15">
        <v>-1</v>
      </c>
      <c r="M13" s="15">
        <v>-1</v>
      </c>
      <c r="N13" s="15">
        <v>-1</v>
      </c>
      <c r="O13" s="6">
        <f t="shared" si="8"/>
        <v>-14</v>
      </c>
      <c r="P13" s="122"/>
      <c r="Q13" s="123"/>
      <c r="R13" s="123"/>
      <c r="S13" s="123"/>
      <c r="T13" s="123"/>
      <c r="U13" s="124"/>
      <c r="V13" s="9"/>
      <c r="W13" s="9"/>
      <c r="X13" s="6">
        <f t="shared" si="2"/>
        <v>-1</v>
      </c>
      <c r="Y13" s="6">
        <f t="shared" si="3"/>
        <v>-1</v>
      </c>
      <c r="Z13" s="6">
        <f t="shared" si="4"/>
        <v>-1</v>
      </c>
      <c r="AA13" s="6">
        <f t="shared" si="5"/>
        <v>-1</v>
      </c>
      <c r="AB13" s="6">
        <f t="shared" si="6"/>
        <v>-1</v>
      </c>
      <c r="AC13" s="6">
        <f t="shared" si="7"/>
        <v>-1</v>
      </c>
      <c r="AD13" s="6">
        <f t="shared" si="1"/>
        <v>-14</v>
      </c>
      <c r="AE13" s="106"/>
      <c r="AF13" s="106"/>
    </row>
    <row r="14" spans="1:32" x14ac:dyDescent="0.3">
      <c r="A14" s="126"/>
      <c r="B14" s="11" t="s">
        <v>46</v>
      </c>
      <c r="C14" s="36"/>
      <c r="D14" s="36"/>
      <c r="E14" s="39"/>
      <c r="F14" s="17"/>
      <c r="G14" s="6"/>
      <c r="H14" s="6"/>
      <c r="I14" s="15">
        <v>-1</v>
      </c>
      <c r="J14" s="15">
        <v>-1</v>
      </c>
      <c r="K14" s="15">
        <v>-1</v>
      </c>
      <c r="L14" s="15">
        <v>-1</v>
      </c>
      <c r="M14" s="15">
        <v>-1</v>
      </c>
      <c r="N14" s="15">
        <v>-1</v>
      </c>
      <c r="O14" s="6">
        <f t="shared" si="8"/>
        <v>-14</v>
      </c>
      <c r="P14" s="122"/>
      <c r="Q14" s="123"/>
      <c r="R14" s="123"/>
      <c r="S14" s="123"/>
      <c r="T14" s="123"/>
      <c r="U14" s="124"/>
      <c r="V14" s="9"/>
      <c r="W14" s="9"/>
      <c r="X14" s="6">
        <f t="shared" si="2"/>
        <v>-1</v>
      </c>
      <c r="Y14" s="6">
        <f t="shared" si="3"/>
        <v>-1</v>
      </c>
      <c r="Z14" s="6">
        <f t="shared" si="4"/>
        <v>-1</v>
      </c>
      <c r="AA14" s="6">
        <f t="shared" si="5"/>
        <v>-1</v>
      </c>
      <c r="AB14" s="6">
        <f t="shared" si="6"/>
        <v>-1</v>
      </c>
      <c r="AC14" s="6">
        <f t="shared" si="7"/>
        <v>-1</v>
      </c>
      <c r="AD14" s="6">
        <f t="shared" si="1"/>
        <v>-14</v>
      </c>
      <c r="AE14" s="106"/>
      <c r="AF14" s="106"/>
    </row>
    <row r="15" spans="1:32" x14ac:dyDescent="0.3">
      <c r="A15" s="126"/>
      <c r="B15" s="118" t="s">
        <v>47</v>
      </c>
      <c r="C15" s="120" t="s">
        <v>174</v>
      </c>
      <c r="D15" s="120" t="s">
        <v>163</v>
      </c>
      <c r="E15" s="120" t="s">
        <v>175</v>
      </c>
      <c r="F15" s="17" t="s">
        <v>158</v>
      </c>
      <c r="G15" s="6" t="s">
        <v>164</v>
      </c>
      <c r="H15" s="6" t="s">
        <v>196</v>
      </c>
      <c r="I15" s="15">
        <v>-1</v>
      </c>
      <c r="J15" s="15">
        <v>-1</v>
      </c>
      <c r="K15" s="15">
        <v>-1</v>
      </c>
      <c r="L15" s="15">
        <v>-1</v>
      </c>
      <c r="M15" s="15">
        <v>-1</v>
      </c>
      <c r="N15" s="15">
        <v>-1</v>
      </c>
      <c r="O15" s="6">
        <f t="shared" si="8"/>
        <v>-14</v>
      </c>
      <c r="P15" s="37"/>
      <c r="Q15" s="38"/>
      <c r="R15" s="38"/>
      <c r="S15" s="38"/>
      <c r="T15" s="38"/>
      <c r="U15" s="24"/>
      <c r="V15" s="25"/>
      <c r="W15" s="25"/>
      <c r="X15" s="6">
        <f t="shared" si="2"/>
        <v>-1</v>
      </c>
      <c r="Y15" s="6">
        <f t="shared" si="3"/>
        <v>-1</v>
      </c>
      <c r="Z15" s="6">
        <f t="shared" si="4"/>
        <v>-1</v>
      </c>
      <c r="AA15" s="6">
        <f t="shared" si="5"/>
        <v>-1</v>
      </c>
      <c r="AB15" s="6">
        <f t="shared" si="6"/>
        <v>-1</v>
      </c>
      <c r="AC15" s="6">
        <f t="shared" si="7"/>
        <v>-1</v>
      </c>
      <c r="AD15" s="6">
        <f t="shared" si="1"/>
        <v>-14</v>
      </c>
      <c r="AE15" s="106"/>
      <c r="AF15" s="106"/>
    </row>
    <row r="16" spans="1:32" x14ac:dyDescent="0.3">
      <c r="A16" s="126"/>
      <c r="B16" s="119"/>
      <c r="C16" s="121"/>
      <c r="D16" s="121"/>
      <c r="E16" s="121"/>
      <c r="F16" s="17" t="s">
        <v>158</v>
      </c>
      <c r="G16" s="6" t="s">
        <v>165</v>
      </c>
      <c r="H16" s="6" t="s">
        <v>36</v>
      </c>
      <c r="I16" s="15">
        <v>-1</v>
      </c>
      <c r="J16" s="15">
        <v>-1</v>
      </c>
      <c r="K16" s="15">
        <v>-1</v>
      </c>
      <c r="L16" s="15">
        <v>-1</v>
      </c>
      <c r="M16" s="15">
        <v>-1</v>
      </c>
      <c r="N16" s="15">
        <v>-1</v>
      </c>
      <c r="O16" s="6">
        <f t="shared" si="8"/>
        <v>-14</v>
      </c>
      <c r="P16" s="122"/>
      <c r="Q16" s="123"/>
      <c r="R16" s="123"/>
      <c r="S16" s="123"/>
      <c r="T16" s="123"/>
      <c r="U16" s="124"/>
      <c r="V16" s="9"/>
      <c r="W16" s="9"/>
      <c r="X16" s="6">
        <f t="shared" si="2"/>
        <v>-1</v>
      </c>
      <c r="Y16" s="6">
        <f t="shared" si="3"/>
        <v>-1</v>
      </c>
      <c r="Z16" s="6">
        <f t="shared" si="4"/>
        <v>-1</v>
      </c>
      <c r="AA16" s="6">
        <f t="shared" si="5"/>
        <v>-1</v>
      </c>
      <c r="AB16" s="6">
        <f t="shared" si="6"/>
        <v>-1</v>
      </c>
      <c r="AC16" s="6">
        <f t="shared" si="7"/>
        <v>-1</v>
      </c>
      <c r="AD16" s="6">
        <f t="shared" si="1"/>
        <v>-14</v>
      </c>
      <c r="AE16" s="106"/>
      <c r="AF16" s="106"/>
    </row>
    <row r="17" spans="1:32" x14ac:dyDescent="0.3">
      <c r="A17" s="126"/>
      <c r="B17" s="118" t="s">
        <v>48</v>
      </c>
      <c r="C17" s="120" t="s">
        <v>176</v>
      </c>
      <c r="D17" s="120" t="s">
        <v>177</v>
      </c>
      <c r="E17" s="120" t="s">
        <v>178</v>
      </c>
      <c r="F17" s="17" t="s">
        <v>158</v>
      </c>
      <c r="G17" s="6" t="s">
        <v>164</v>
      </c>
      <c r="H17" s="6" t="s">
        <v>196</v>
      </c>
      <c r="I17" s="15">
        <v>-1</v>
      </c>
      <c r="J17" s="15">
        <v>-1</v>
      </c>
      <c r="K17" s="15">
        <v>-1</v>
      </c>
      <c r="L17" s="15">
        <v>-1</v>
      </c>
      <c r="M17" s="15">
        <v>-1</v>
      </c>
      <c r="N17" s="15">
        <v>-1</v>
      </c>
      <c r="O17" s="6">
        <f t="shared" si="8"/>
        <v>-14</v>
      </c>
      <c r="P17" s="37"/>
      <c r="Q17" s="38"/>
      <c r="R17" s="38"/>
      <c r="S17" s="38"/>
      <c r="T17" s="38"/>
      <c r="U17" s="24"/>
      <c r="V17" s="25"/>
      <c r="W17" s="25"/>
      <c r="X17" s="6">
        <f t="shared" si="2"/>
        <v>-1</v>
      </c>
      <c r="Y17" s="6">
        <f t="shared" si="3"/>
        <v>-1</v>
      </c>
      <c r="Z17" s="6">
        <f t="shared" si="4"/>
        <v>-1</v>
      </c>
      <c r="AA17" s="6">
        <f t="shared" si="5"/>
        <v>-1</v>
      </c>
      <c r="AB17" s="6">
        <f t="shared" si="6"/>
        <v>-1</v>
      </c>
      <c r="AC17" s="6">
        <f t="shared" si="7"/>
        <v>-1</v>
      </c>
      <c r="AD17" s="6">
        <f t="shared" si="1"/>
        <v>-14</v>
      </c>
      <c r="AE17" s="106"/>
      <c r="AF17" s="106"/>
    </row>
    <row r="18" spans="1:32" x14ac:dyDescent="0.3">
      <c r="A18" s="126"/>
      <c r="B18" s="119"/>
      <c r="C18" s="121"/>
      <c r="D18" s="121"/>
      <c r="E18" s="121"/>
      <c r="F18" s="17" t="s">
        <v>158</v>
      </c>
      <c r="G18" s="6" t="s">
        <v>165</v>
      </c>
      <c r="H18" s="6" t="s">
        <v>36</v>
      </c>
      <c r="I18" s="15">
        <v>-1</v>
      </c>
      <c r="J18" s="15">
        <v>-1</v>
      </c>
      <c r="K18" s="15">
        <v>-1</v>
      </c>
      <c r="L18" s="15">
        <v>-1</v>
      </c>
      <c r="M18" s="15">
        <v>-1</v>
      </c>
      <c r="N18" s="15">
        <v>-1</v>
      </c>
      <c r="O18" s="6">
        <f t="shared" si="8"/>
        <v>-14</v>
      </c>
      <c r="P18" s="122"/>
      <c r="Q18" s="123"/>
      <c r="R18" s="123"/>
      <c r="S18" s="123"/>
      <c r="T18" s="123"/>
      <c r="U18" s="124"/>
      <c r="V18" s="9"/>
      <c r="W18" s="9"/>
      <c r="X18" s="6">
        <f t="shared" si="2"/>
        <v>-1</v>
      </c>
      <c r="Y18" s="6">
        <f t="shared" si="3"/>
        <v>-1</v>
      </c>
      <c r="Z18" s="6">
        <f t="shared" si="4"/>
        <v>-1</v>
      </c>
      <c r="AA18" s="6">
        <f t="shared" si="5"/>
        <v>-1</v>
      </c>
      <c r="AB18" s="6">
        <f t="shared" si="6"/>
        <v>-1</v>
      </c>
      <c r="AC18" s="6">
        <f t="shared" si="7"/>
        <v>-1</v>
      </c>
      <c r="AD18" s="6">
        <f t="shared" si="1"/>
        <v>-14</v>
      </c>
      <c r="AE18" s="106"/>
      <c r="AF18" s="106"/>
    </row>
    <row r="19" spans="1:32" x14ac:dyDescent="0.3">
      <c r="A19" s="126"/>
      <c r="B19" s="118" t="s">
        <v>49</v>
      </c>
      <c r="C19" s="120" t="s">
        <v>179</v>
      </c>
      <c r="D19" s="120" t="s">
        <v>180</v>
      </c>
      <c r="E19" s="120" t="s">
        <v>181</v>
      </c>
      <c r="F19" s="17" t="s">
        <v>158</v>
      </c>
      <c r="G19" s="6" t="s">
        <v>164</v>
      </c>
      <c r="H19" s="6" t="s">
        <v>196</v>
      </c>
      <c r="I19" s="15">
        <v>-1</v>
      </c>
      <c r="J19" s="15">
        <v>-1</v>
      </c>
      <c r="K19" s="15">
        <v>-1</v>
      </c>
      <c r="L19" s="15">
        <v>-1</v>
      </c>
      <c r="M19" s="15">
        <v>-1</v>
      </c>
      <c r="N19" s="15">
        <v>-1</v>
      </c>
      <c r="O19" s="6">
        <f t="shared" si="8"/>
        <v>-14</v>
      </c>
      <c r="P19" s="37"/>
      <c r="Q19" s="38"/>
      <c r="R19" s="38"/>
      <c r="S19" s="38"/>
      <c r="T19" s="38"/>
      <c r="U19" s="24"/>
      <c r="V19" s="25"/>
      <c r="W19" s="25"/>
      <c r="X19" s="6">
        <f t="shared" si="2"/>
        <v>-1</v>
      </c>
      <c r="Y19" s="6">
        <f t="shared" si="3"/>
        <v>-1</v>
      </c>
      <c r="Z19" s="6">
        <f t="shared" si="4"/>
        <v>-1</v>
      </c>
      <c r="AA19" s="6">
        <f t="shared" si="5"/>
        <v>-1</v>
      </c>
      <c r="AB19" s="6">
        <f t="shared" si="6"/>
        <v>-1</v>
      </c>
      <c r="AC19" s="6">
        <f t="shared" si="7"/>
        <v>-1</v>
      </c>
      <c r="AD19" s="6">
        <f t="shared" si="1"/>
        <v>-14</v>
      </c>
      <c r="AE19" s="106"/>
      <c r="AF19" s="106"/>
    </row>
    <row r="20" spans="1:32" x14ac:dyDescent="0.3">
      <c r="A20" s="126"/>
      <c r="B20" s="119"/>
      <c r="C20" s="121"/>
      <c r="D20" s="121"/>
      <c r="E20" s="121"/>
      <c r="F20" s="17" t="s">
        <v>158</v>
      </c>
      <c r="G20" s="6" t="s">
        <v>165</v>
      </c>
      <c r="H20" s="6" t="s">
        <v>36</v>
      </c>
      <c r="I20" s="15">
        <v>-1</v>
      </c>
      <c r="J20" s="15">
        <v>-1</v>
      </c>
      <c r="K20" s="15">
        <v>-1</v>
      </c>
      <c r="L20" s="15">
        <v>-1</v>
      </c>
      <c r="M20" s="15">
        <v>-1</v>
      </c>
      <c r="N20" s="15">
        <v>-1</v>
      </c>
      <c r="O20" s="6">
        <f t="shared" si="8"/>
        <v>-14</v>
      </c>
      <c r="P20" s="122"/>
      <c r="Q20" s="123"/>
      <c r="R20" s="123"/>
      <c r="S20" s="123"/>
      <c r="T20" s="123"/>
      <c r="U20" s="124"/>
      <c r="V20" s="9"/>
      <c r="W20" s="9"/>
      <c r="X20" s="6">
        <f t="shared" si="2"/>
        <v>-1</v>
      </c>
      <c r="Y20" s="6">
        <f t="shared" si="3"/>
        <v>-1</v>
      </c>
      <c r="Z20" s="6">
        <f t="shared" si="4"/>
        <v>-1</v>
      </c>
      <c r="AA20" s="6">
        <f t="shared" si="5"/>
        <v>-1</v>
      </c>
      <c r="AB20" s="6">
        <f t="shared" si="6"/>
        <v>-1</v>
      </c>
      <c r="AC20" s="6">
        <f t="shared" si="7"/>
        <v>-1</v>
      </c>
      <c r="AD20" s="6">
        <f t="shared" si="1"/>
        <v>-14</v>
      </c>
      <c r="AE20" s="106"/>
      <c r="AF20" s="106"/>
    </row>
    <row r="21" spans="1:32" x14ac:dyDescent="0.3">
      <c r="A21" s="126"/>
      <c r="B21" s="11" t="s">
        <v>50</v>
      </c>
      <c r="C21" s="25" t="s">
        <v>183</v>
      </c>
      <c r="D21" s="48" t="s">
        <v>182</v>
      </c>
      <c r="E21" s="46" t="s">
        <v>178</v>
      </c>
      <c r="F21" s="17"/>
      <c r="G21" s="6"/>
      <c r="H21" s="6"/>
      <c r="I21" s="15">
        <v>-1</v>
      </c>
      <c r="J21" s="15">
        <v>-1</v>
      </c>
      <c r="K21" s="15">
        <v>-1</v>
      </c>
      <c r="L21" s="15">
        <v>-1</v>
      </c>
      <c r="M21" s="15">
        <v>-1</v>
      </c>
      <c r="N21" s="15">
        <v>-1</v>
      </c>
      <c r="O21" s="6">
        <f t="shared" si="8"/>
        <v>-14</v>
      </c>
      <c r="P21" s="122"/>
      <c r="Q21" s="123"/>
      <c r="R21" s="123"/>
      <c r="S21" s="123"/>
      <c r="T21" s="123"/>
      <c r="U21" s="124"/>
      <c r="V21" s="9"/>
      <c r="W21" s="9"/>
      <c r="X21" s="6">
        <f t="shared" si="2"/>
        <v>-1</v>
      </c>
      <c r="Y21" s="6">
        <f t="shared" si="3"/>
        <v>-1</v>
      </c>
      <c r="Z21" s="6">
        <f t="shared" si="4"/>
        <v>-1</v>
      </c>
      <c r="AA21" s="6">
        <f t="shared" si="5"/>
        <v>-1</v>
      </c>
      <c r="AB21" s="6">
        <f t="shared" si="6"/>
        <v>-1</v>
      </c>
      <c r="AC21" s="6">
        <f t="shared" si="7"/>
        <v>-1</v>
      </c>
      <c r="AD21" s="6">
        <f t="shared" si="1"/>
        <v>-14</v>
      </c>
      <c r="AE21" s="106"/>
      <c r="AF21" s="106"/>
    </row>
    <row r="22" spans="1:32" x14ac:dyDescent="0.3">
      <c r="A22" s="126"/>
      <c r="B22" s="11" t="s">
        <v>51</v>
      </c>
      <c r="C22" s="25" t="s">
        <v>183</v>
      </c>
      <c r="D22" s="36"/>
      <c r="E22" s="46" t="s">
        <v>178</v>
      </c>
      <c r="F22" s="17"/>
      <c r="G22" s="6"/>
      <c r="H22" s="6"/>
      <c r="I22" s="15">
        <v>-1</v>
      </c>
      <c r="J22" s="15">
        <v>-1</v>
      </c>
      <c r="K22" s="15">
        <v>-1</v>
      </c>
      <c r="L22" s="15">
        <v>-1</v>
      </c>
      <c r="M22" s="15">
        <v>-1</v>
      </c>
      <c r="N22" s="15">
        <v>-1</v>
      </c>
      <c r="O22" s="6">
        <f t="shared" si="8"/>
        <v>-14</v>
      </c>
      <c r="P22" s="122"/>
      <c r="Q22" s="123"/>
      <c r="R22" s="123"/>
      <c r="S22" s="123"/>
      <c r="T22" s="123"/>
      <c r="U22" s="124"/>
      <c r="V22" s="9"/>
      <c r="W22" s="9"/>
      <c r="X22" s="6">
        <f t="shared" si="2"/>
        <v>-1</v>
      </c>
      <c r="Y22" s="6">
        <f t="shared" si="3"/>
        <v>-1</v>
      </c>
      <c r="Z22" s="6">
        <f t="shared" si="4"/>
        <v>-1</v>
      </c>
      <c r="AA22" s="6">
        <f t="shared" si="5"/>
        <v>-1</v>
      </c>
      <c r="AB22" s="6">
        <f t="shared" si="6"/>
        <v>-1</v>
      </c>
      <c r="AC22" s="6">
        <f t="shared" si="7"/>
        <v>-1</v>
      </c>
      <c r="AD22" s="6">
        <f t="shared" si="1"/>
        <v>-14</v>
      </c>
      <c r="AE22" s="106"/>
      <c r="AF22" s="106"/>
    </row>
    <row r="23" spans="1:32" x14ac:dyDescent="0.3">
      <c r="A23" s="126"/>
      <c r="B23" s="11" t="s">
        <v>52</v>
      </c>
      <c r="C23" s="25" t="s">
        <v>183</v>
      </c>
      <c r="D23" s="48" t="s">
        <v>184</v>
      </c>
      <c r="E23" s="46" t="s">
        <v>178</v>
      </c>
      <c r="F23" s="17"/>
      <c r="G23" s="6"/>
      <c r="H23" s="6"/>
      <c r="I23" s="15">
        <v>-1</v>
      </c>
      <c r="J23" s="15">
        <v>-1</v>
      </c>
      <c r="K23" s="15">
        <v>-1</v>
      </c>
      <c r="L23" s="15">
        <v>-1</v>
      </c>
      <c r="M23" s="15">
        <v>-1</v>
      </c>
      <c r="N23" s="15">
        <v>-1</v>
      </c>
      <c r="O23" s="6">
        <f t="shared" si="8"/>
        <v>-14</v>
      </c>
      <c r="P23" s="122"/>
      <c r="Q23" s="123"/>
      <c r="R23" s="123"/>
      <c r="S23" s="123"/>
      <c r="T23" s="123"/>
      <c r="U23" s="124"/>
      <c r="V23" s="9"/>
      <c r="W23" s="9"/>
      <c r="X23" s="6">
        <f t="shared" si="2"/>
        <v>-1</v>
      </c>
      <c r="Y23" s="6">
        <f t="shared" si="3"/>
        <v>-1</v>
      </c>
      <c r="Z23" s="6">
        <f t="shared" si="4"/>
        <v>-1</v>
      </c>
      <c r="AA23" s="6">
        <f t="shared" si="5"/>
        <v>-1</v>
      </c>
      <c r="AB23" s="6">
        <f t="shared" si="6"/>
        <v>-1</v>
      </c>
      <c r="AC23" s="6">
        <f t="shared" si="7"/>
        <v>-1</v>
      </c>
      <c r="AD23" s="6">
        <f t="shared" si="1"/>
        <v>-14</v>
      </c>
      <c r="AE23" s="106"/>
      <c r="AF23" s="106"/>
    </row>
    <row r="24" spans="1:32" x14ac:dyDescent="0.3">
      <c r="A24" s="126"/>
      <c r="B24" s="11" t="s">
        <v>53</v>
      </c>
      <c r="C24" s="25" t="s">
        <v>183</v>
      </c>
      <c r="D24" s="36"/>
      <c r="E24" s="46" t="s">
        <v>178</v>
      </c>
      <c r="F24" s="17"/>
      <c r="G24" s="6"/>
      <c r="H24" s="6"/>
      <c r="I24" s="15">
        <v>-1</v>
      </c>
      <c r="J24" s="15">
        <v>-1</v>
      </c>
      <c r="K24" s="15">
        <v>-1</v>
      </c>
      <c r="L24" s="15">
        <v>-1</v>
      </c>
      <c r="M24" s="15">
        <v>-1</v>
      </c>
      <c r="N24" s="15">
        <v>-1</v>
      </c>
      <c r="O24" s="6">
        <f t="shared" si="8"/>
        <v>-14</v>
      </c>
      <c r="P24" s="122"/>
      <c r="Q24" s="123"/>
      <c r="R24" s="123"/>
      <c r="S24" s="123"/>
      <c r="T24" s="123"/>
      <c r="U24" s="124"/>
      <c r="V24" s="9"/>
      <c r="W24" s="9"/>
      <c r="X24" s="6">
        <f t="shared" si="2"/>
        <v>-1</v>
      </c>
      <c r="Y24" s="6">
        <f t="shared" si="3"/>
        <v>-1</v>
      </c>
      <c r="Z24" s="6">
        <f t="shared" si="4"/>
        <v>-1</v>
      </c>
      <c r="AA24" s="6">
        <f t="shared" si="5"/>
        <v>-1</v>
      </c>
      <c r="AB24" s="6">
        <f t="shared" si="6"/>
        <v>-1</v>
      </c>
      <c r="AC24" s="6">
        <f t="shared" si="7"/>
        <v>-1</v>
      </c>
      <c r="AD24" s="6">
        <f t="shared" si="1"/>
        <v>-14</v>
      </c>
      <c r="AE24" s="106"/>
      <c r="AF24" s="106"/>
    </row>
    <row r="25" spans="1:32" x14ac:dyDescent="0.3">
      <c r="A25" s="126"/>
      <c r="B25" s="11" t="s">
        <v>54</v>
      </c>
      <c r="C25" s="36"/>
      <c r="D25" s="36"/>
      <c r="E25" s="39"/>
      <c r="F25" s="17"/>
      <c r="G25" s="6"/>
      <c r="H25" s="6"/>
      <c r="I25" s="15">
        <v>-1</v>
      </c>
      <c r="J25" s="15">
        <v>-1</v>
      </c>
      <c r="K25" s="15">
        <v>-1</v>
      </c>
      <c r="L25" s="15">
        <v>-1</v>
      </c>
      <c r="M25" s="15">
        <v>-1</v>
      </c>
      <c r="N25" s="15">
        <v>-1</v>
      </c>
      <c r="O25" s="6">
        <f t="shared" si="8"/>
        <v>-14</v>
      </c>
      <c r="P25" s="122"/>
      <c r="Q25" s="123"/>
      <c r="R25" s="123"/>
      <c r="S25" s="123"/>
      <c r="T25" s="123"/>
      <c r="U25" s="124"/>
      <c r="V25" s="9"/>
      <c r="W25" s="9"/>
      <c r="X25" s="6">
        <f t="shared" si="2"/>
        <v>-1</v>
      </c>
      <c r="Y25" s="6">
        <f t="shared" si="3"/>
        <v>-1</v>
      </c>
      <c r="Z25" s="6">
        <f t="shared" si="4"/>
        <v>-1</v>
      </c>
      <c r="AA25" s="6">
        <f t="shared" si="5"/>
        <v>-1</v>
      </c>
      <c r="AB25" s="6">
        <f t="shared" si="6"/>
        <v>-1</v>
      </c>
      <c r="AC25" s="6">
        <f t="shared" si="7"/>
        <v>-1</v>
      </c>
      <c r="AD25" s="6">
        <f t="shared" si="1"/>
        <v>-14</v>
      </c>
      <c r="AE25" s="106"/>
      <c r="AF25" s="106"/>
    </row>
    <row r="26" spans="1:32" x14ac:dyDescent="0.3">
      <c r="A26" s="126"/>
      <c r="B26" s="40" t="s">
        <v>55</v>
      </c>
      <c r="C26" s="19" t="s">
        <v>185</v>
      </c>
      <c r="D26" s="19" t="s">
        <v>202</v>
      </c>
      <c r="E26" s="25" t="s">
        <v>187</v>
      </c>
      <c r="F26" s="41" t="s">
        <v>156</v>
      </c>
      <c r="G26" s="6" t="s">
        <v>165</v>
      </c>
      <c r="H26" s="6" t="s">
        <v>36</v>
      </c>
      <c r="I26" s="15">
        <v>-1</v>
      </c>
      <c r="J26" s="15">
        <v>-1</v>
      </c>
      <c r="K26" s="15">
        <v>-1</v>
      </c>
      <c r="L26" s="15">
        <v>-1</v>
      </c>
      <c r="M26" s="15">
        <v>-1</v>
      </c>
      <c r="N26" s="15">
        <v>-1</v>
      </c>
      <c r="O26" s="6">
        <f t="shared" si="8"/>
        <v>-14</v>
      </c>
      <c r="P26" s="37"/>
      <c r="Q26" s="38"/>
      <c r="R26" s="38"/>
      <c r="S26" s="38"/>
      <c r="T26" s="38"/>
      <c r="U26" s="24"/>
      <c r="V26" s="25"/>
      <c r="W26" s="25"/>
      <c r="X26" s="6">
        <f t="shared" si="2"/>
        <v>-1</v>
      </c>
      <c r="Y26" s="6">
        <f t="shared" si="3"/>
        <v>-1</v>
      </c>
      <c r="Z26" s="6">
        <f t="shared" si="4"/>
        <v>-1</v>
      </c>
      <c r="AA26" s="6">
        <f t="shared" si="5"/>
        <v>-1</v>
      </c>
      <c r="AB26" s="6">
        <f t="shared" si="6"/>
        <v>-1</v>
      </c>
      <c r="AC26" s="6">
        <f t="shared" si="7"/>
        <v>-1</v>
      </c>
      <c r="AD26" s="6">
        <f t="shared" si="1"/>
        <v>-14</v>
      </c>
      <c r="AE26" s="106"/>
      <c r="AF26" s="106"/>
    </row>
    <row r="27" spans="1:32" ht="37.5" x14ac:dyDescent="0.3">
      <c r="A27" s="126"/>
      <c r="B27" s="42" t="s">
        <v>56</v>
      </c>
      <c r="C27" s="19" t="s">
        <v>189</v>
      </c>
      <c r="D27" s="25"/>
      <c r="E27" s="18"/>
      <c r="F27" s="10"/>
      <c r="G27" s="6"/>
      <c r="H27" s="6"/>
      <c r="I27" s="15">
        <v>-1</v>
      </c>
      <c r="J27" s="15">
        <v>-1</v>
      </c>
      <c r="K27" s="15">
        <v>-1</v>
      </c>
      <c r="L27" s="15">
        <v>-1</v>
      </c>
      <c r="M27" s="15">
        <v>-1</v>
      </c>
      <c r="N27" s="15">
        <v>-1</v>
      </c>
      <c r="O27" s="6">
        <f t="shared" si="8"/>
        <v>-14</v>
      </c>
      <c r="P27" s="122"/>
      <c r="Q27" s="123"/>
      <c r="R27" s="123"/>
      <c r="S27" s="123"/>
      <c r="T27" s="123"/>
      <c r="U27" s="124"/>
      <c r="V27" s="9"/>
      <c r="W27" s="9"/>
      <c r="X27" s="6">
        <f t="shared" si="2"/>
        <v>-1</v>
      </c>
      <c r="Y27" s="6">
        <f t="shared" si="3"/>
        <v>-1</v>
      </c>
      <c r="Z27" s="6">
        <f t="shared" si="4"/>
        <v>-1</v>
      </c>
      <c r="AA27" s="6">
        <f t="shared" si="5"/>
        <v>-1</v>
      </c>
      <c r="AB27" s="6">
        <f t="shared" si="6"/>
        <v>-1</v>
      </c>
      <c r="AC27" s="6">
        <f t="shared" si="7"/>
        <v>-1</v>
      </c>
      <c r="AD27" s="6">
        <f t="shared" si="1"/>
        <v>-14</v>
      </c>
      <c r="AE27" s="106"/>
      <c r="AF27" s="106"/>
    </row>
    <row r="28" spans="1:32" x14ac:dyDescent="0.3">
      <c r="A28" s="126"/>
      <c r="B28" s="11" t="s">
        <v>57</v>
      </c>
      <c r="C28" s="25" t="s">
        <v>185</v>
      </c>
      <c r="D28" s="19" t="s">
        <v>186</v>
      </c>
      <c r="E28" s="25" t="s">
        <v>187</v>
      </c>
      <c r="F28" s="41" t="s">
        <v>156</v>
      </c>
      <c r="G28" s="6" t="s">
        <v>165</v>
      </c>
      <c r="H28" s="6" t="s">
        <v>36</v>
      </c>
      <c r="I28" s="15">
        <v>-1</v>
      </c>
      <c r="J28" s="15">
        <v>-1</v>
      </c>
      <c r="K28" s="15">
        <v>-1</v>
      </c>
      <c r="L28" s="15">
        <v>-1</v>
      </c>
      <c r="M28" s="15">
        <v>-1</v>
      </c>
      <c r="N28" s="15">
        <v>-1</v>
      </c>
      <c r="O28" s="6">
        <f t="shared" si="8"/>
        <v>-14</v>
      </c>
      <c r="P28" s="122"/>
      <c r="Q28" s="123"/>
      <c r="R28" s="123"/>
      <c r="S28" s="123"/>
      <c r="T28" s="123"/>
      <c r="U28" s="124"/>
      <c r="V28" s="9"/>
      <c r="W28" s="9"/>
      <c r="X28" s="6">
        <f t="shared" si="2"/>
        <v>-1</v>
      </c>
      <c r="Y28" s="6">
        <f t="shared" si="3"/>
        <v>-1</v>
      </c>
      <c r="Z28" s="6">
        <f t="shared" si="4"/>
        <v>-1</v>
      </c>
      <c r="AA28" s="6">
        <f t="shared" si="5"/>
        <v>-1</v>
      </c>
      <c r="AB28" s="6">
        <f t="shared" si="6"/>
        <v>-1</v>
      </c>
      <c r="AC28" s="6">
        <f t="shared" si="7"/>
        <v>-1</v>
      </c>
      <c r="AD28" s="6">
        <f t="shared" si="1"/>
        <v>-14</v>
      </c>
      <c r="AE28" s="106"/>
      <c r="AF28" s="106"/>
    </row>
    <row r="29" spans="1:32" x14ac:dyDescent="0.3">
      <c r="A29" s="126"/>
      <c r="B29" s="11" t="s">
        <v>58</v>
      </c>
      <c r="C29" s="25" t="s">
        <v>185</v>
      </c>
      <c r="D29" s="19" t="s">
        <v>186</v>
      </c>
      <c r="E29" s="25" t="s">
        <v>187</v>
      </c>
      <c r="F29" s="10" t="s">
        <v>156</v>
      </c>
      <c r="G29" s="6" t="s">
        <v>165</v>
      </c>
      <c r="H29" s="6" t="s">
        <v>36</v>
      </c>
      <c r="I29" s="15">
        <v>-1</v>
      </c>
      <c r="J29" s="15">
        <v>-1</v>
      </c>
      <c r="K29" s="15">
        <v>-1</v>
      </c>
      <c r="L29" s="15">
        <v>-1</v>
      </c>
      <c r="M29" s="15">
        <v>-1</v>
      </c>
      <c r="N29" s="15">
        <v>-1</v>
      </c>
      <c r="O29" s="6">
        <f t="shared" si="8"/>
        <v>-14</v>
      </c>
      <c r="P29" s="122"/>
      <c r="Q29" s="123"/>
      <c r="R29" s="123"/>
      <c r="S29" s="123"/>
      <c r="T29" s="123"/>
      <c r="U29" s="124"/>
      <c r="V29" s="9"/>
      <c r="W29" s="9"/>
      <c r="X29" s="6">
        <f t="shared" si="2"/>
        <v>-1</v>
      </c>
      <c r="Y29" s="6">
        <f t="shared" si="3"/>
        <v>-1</v>
      </c>
      <c r="Z29" s="6">
        <f t="shared" si="4"/>
        <v>-1</v>
      </c>
      <c r="AA29" s="6">
        <f t="shared" si="5"/>
        <v>-1</v>
      </c>
      <c r="AB29" s="6">
        <f t="shared" si="6"/>
        <v>-1</v>
      </c>
      <c r="AC29" s="6">
        <f t="shared" si="7"/>
        <v>-1</v>
      </c>
      <c r="AD29" s="6">
        <f t="shared" si="1"/>
        <v>-14</v>
      </c>
      <c r="AE29" s="106"/>
      <c r="AF29" s="106"/>
    </row>
    <row r="30" spans="1:32" x14ac:dyDescent="0.3">
      <c r="A30" s="126"/>
      <c r="B30" s="11" t="s">
        <v>59</v>
      </c>
      <c r="C30" s="25" t="s">
        <v>185</v>
      </c>
      <c r="D30" s="19" t="s">
        <v>186</v>
      </c>
      <c r="E30" s="25" t="s">
        <v>187</v>
      </c>
      <c r="F30" s="10" t="s">
        <v>156</v>
      </c>
      <c r="G30" s="6" t="s">
        <v>165</v>
      </c>
      <c r="H30" s="6" t="s">
        <v>36</v>
      </c>
      <c r="I30" s="15">
        <v>-1</v>
      </c>
      <c r="J30" s="15">
        <v>-1</v>
      </c>
      <c r="K30" s="15">
        <v>-1</v>
      </c>
      <c r="L30" s="15">
        <v>-1</v>
      </c>
      <c r="M30" s="15">
        <v>-1</v>
      </c>
      <c r="N30" s="15">
        <v>-1</v>
      </c>
      <c r="O30" s="6">
        <f t="shared" si="8"/>
        <v>-14</v>
      </c>
      <c r="P30" s="122"/>
      <c r="Q30" s="123"/>
      <c r="R30" s="123"/>
      <c r="S30" s="123"/>
      <c r="T30" s="123"/>
      <c r="U30" s="124"/>
      <c r="V30" s="9"/>
      <c r="W30" s="9"/>
      <c r="X30" s="6">
        <f t="shared" si="2"/>
        <v>-1</v>
      </c>
      <c r="Y30" s="6">
        <f t="shared" si="3"/>
        <v>-1</v>
      </c>
      <c r="Z30" s="6">
        <f t="shared" si="4"/>
        <v>-1</v>
      </c>
      <c r="AA30" s="6">
        <f t="shared" si="5"/>
        <v>-1</v>
      </c>
      <c r="AB30" s="6">
        <f t="shared" si="6"/>
        <v>-1</v>
      </c>
      <c r="AC30" s="6">
        <f t="shared" si="7"/>
        <v>-1</v>
      </c>
      <c r="AD30" s="6">
        <f t="shared" si="1"/>
        <v>-14</v>
      </c>
      <c r="AE30" s="106"/>
      <c r="AF30" s="106"/>
    </row>
    <row r="31" spans="1:32" x14ac:dyDescent="0.3">
      <c r="A31" s="126"/>
      <c r="B31" s="42" t="s">
        <v>60</v>
      </c>
      <c r="C31" s="25"/>
      <c r="D31" s="25"/>
      <c r="E31" s="18"/>
      <c r="F31" s="17"/>
      <c r="G31" s="6"/>
      <c r="H31" s="6"/>
      <c r="I31" s="15">
        <v>-1</v>
      </c>
      <c r="J31" s="15">
        <v>-1</v>
      </c>
      <c r="K31" s="15">
        <v>-1</v>
      </c>
      <c r="L31" s="15">
        <v>-1</v>
      </c>
      <c r="M31" s="15">
        <v>-1</v>
      </c>
      <c r="N31" s="15">
        <v>-1</v>
      </c>
      <c r="O31" s="6">
        <f t="shared" si="8"/>
        <v>-14</v>
      </c>
      <c r="P31" s="122"/>
      <c r="Q31" s="123"/>
      <c r="R31" s="123"/>
      <c r="S31" s="123"/>
      <c r="T31" s="123"/>
      <c r="U31" s="124"/>
      <c r="V31" s="9"/>
      <c r="W31" s="9"/>
      <c r="X31" s="6">
        <f t="shared" si="2"/>
        <v>-1</v>
      </c>
      <c r="Y31" s="6">
        <f t="shared" si="3"/>
        <v>-1</v>
      </c>
      <c r="Z31" s="6">
        <f t="shared" si="4"/>
        <v>-1</v>
      </c>
      <c r="AA31" s="6">
        <f t="shared" si="5"/>
        <v>-1</v>
      </c>
      <c r="AB31" s="6">
        <f t="shared" si="6"/>
        <v>-1</v>
      </c>
      <c r="AC31" s="6">
        <f t="shared" si="7"/>
        <v>-1</v>
      </c>
      <c r="AD31" s="6">
        <f t="shared" si="1"/>
        <v>-14</v>
      </c>
      <c r="AE31" s="106"/>
      <c r="AF31" s="106"/>
    </row>
    <row r="32" spans="1:32" x14ac:dyDescent="0.3">
      <c r="A32" s="126"/>
      <c r="B32" s="42" t="s">
        <v>61</v>
      </c>
      <c r="C32" s="25"/>
      <c r="D32" s="25"/>
      <c r="E32" s="18"/>
      <c r="F32" s="17"/>
      <c r="G32" s="6"/>
      <c r="H32" s="6"/>
      <c r="I32" s="15">
        <v>-1</v>
      </c>
      <c r="J32" s="15">
        <v>-1</v>
      </c>
      <c r="K32" s="15">
        <v>-1</v>
      </c>
      <c r="L32" s="15">
        <v>-1</v>
      </c>
      <c r="M32" s="15">
        <v>-1</v>
      </c>
      <c r="N32" s="15">
        <v>-1</v>
      </c>
      <c r="O32" s="6">
        <f t="shared" si="8"/>
        <v>-14</v>
      </c>
      <c r="P32" s="122"/>
      <c r="Q32" s="123"/>
      <c r="R32" s="123"/>
      <c r="S32" s="123"/>
      <c r="T32" s="123"/>
      <c r="U32" s="124"/>
      <c r="V32" s="9"/>
      <c r="W32" s="9"/>
      <c r="X32" s="6">
        <f t="shared" si="2"/>
        <v>-1</v>
      </c>
      <c r="Y32" s="6">
        <f t="shared" si="3"/>
        <v>-1</v>
      </c>
      <c r="Z32" s="6">
        <f t="shared" si="4"/>
        <v>-1</v>
      </c>
      <c r="AA32" s="6">
        <f t="shared" si="5"/>
        <v>-1</v>
      </c>
      <c r="AB32" s="6">
        <f t="shared" si="6"/>
        <v>-1</v>
      </c>
      <c r="AC32" s="6">
        <f t="shared" si="7"/>
        <v>-1</v>
      </c>
      <c r="AD32" s="6">
        <f t="shared" si="1"/>
        <v>-14</v>
      </c>
      <c r="AE32" s="106"/>
      <c r="AF32" s="106"/>
    </row>
    <row r="33" spans="1:32" x14ac:dyDescent="0.3">
      <c r="A33" s="126"/>
      <c r="B33" s="42" t="s">
        <v>62</v>
      </c>
      <c r="C33" s="25"/>
      <c r="D33" s="25"/>
      <c r="E33" s="18"/>
      <c r="F33" s="17"/>
      <c r="G33" s="6"/>
      <c r="H33" s="6"/>
      <c r="I33" s="15">
        <v>-1</v>
      </c>
      <c r="J33" s="15">
        <v>-1</v>
      </c>
      <c r="K33" s="15">
        <v>-1</v>
      </c>
      <c r="L33" s="15">
        <v>-1</v>
      </c>
      <c r="M33" s="15">
        <v>-1</v>
      </c>
      <c r="N33" s="15">
        <v>-1</v>
      </c>
      <c r="O33" s="6">
        <f t="shared" si="8"/>
        <v>-14</v>
      </c>
      <c r="P33" s="122"/>
      <c r="Q33" s="123"/>
      <c r="R33" s="123"/>
      <c r="S33" s="123"/>
      <c r="T33" s="123"/>
      <c r="U33" s="124"/>
      <c r="V33" s="9"/>
      <c r="W33" s="9"/>
      <c r="X33" s="6">
        <f t="shared" si="2"/>
        <v>-1</v>
      </c>
      <c r="Y33" s="6">
        <f t="shared" si="3"/>
        <v>-1</v>
      </c>
      <c r="Z33" s="6">
        <f t="shared" si="4"/>
        <v>-1</v>
      </c>
      <c r="AA33" s="6">
        <f t="shared" si="5"/>
        <v>-1</v>
      </c>
      <c r="AB33" s="6">
        <f t="shared" si="6"/>
        <v>-1</v>
      </c>
      <c r="AC33" s="6">
        <f t="shared" si="7"/>
        <v>-1</v>
      </c>
      <c r="AD33" s="6">
        <f t="shared" si="1"/>
        <v>-14</v>
      </c>
      <c r="AE33" s="106"/>
      <c r="AF33" s="106"/>
    </row>
    <row r="34" spans="1:32" x14ac:dyDescent="0.3">
      <c r="A34" s="126"/>
      <c r="B34" s="42" t="s">
        <v>188</v>
      </c>
      <c r="C34" s="19" t="s">
        <v>185</v>
      </c>
      <c r="D34" s="19" t="s">
        <v>186</v>
      </c>
      <c r="E34" s="25" t="s">
        <v>187</v>
      </c>
      <c r="F34" s="10" t="s">
        <v>156</v>
      </c>
      <c r="G34" s="6" t="s">
        <v>165</v>
      </c>
      <c r="H34" s="6" t="s">
        <v>36</v>
      </c>
      <c r="I34" s="15">
        <v>-1</v>
      </c>
      <c r="J34" s="15">
        <v>-1</v>
      </c>
      <c r="K34" s="15">
        <v>-1</v>
      </c>
      <c r="L34" s="15">
        <v>-1</v>
      </c>
      <c r="M34" s="15">
        <v>-1</v>
      </c>
      <c r="N34" s="15">
        <v>-1</v>
      </c>
      <c r="O34" s="6">
        <f t="shared" si="8"/>
        <v>-14</v>
      </c>
      <c r="P34" s="37"/>
      <c r="Q34" s="38"/>
      <c r="R34" s="38"/>
      <c r="S34" s="38"/>
      <c r="T34" s="38"/>
      <c r="U34" s="24"/>
      <c r="V34" s="25"/>
      <c r="W34" s="25"/>
      <c r="X34" s="6">
        <f t="shared" si="2"/>
        <v>-1</v>
      </c>
      <c r="Y34" s="6">
        <f t="shared" si="3"/>
        <v>-1</v>
      </c>
      <c r="Z34" s="6">
        <f t="shared" si="4"/>
        <v>-1</v>
      </c>
      <c r="AA34" s="6">
        <f t="shared" si="5"/>
        <v>-1</v>
      </c>
      <c r="AB34" s="6">
        <f t="shared" si="6"/>
        <v>-1</v>
      </c>
      <c r="AC34" s="6">
        <f t="shared" si="7"/>
        <v>-1</v>
      </c>
      <c r="AD34" s="6">
        <f t="shared" si="1"/>
        <v>-14</v>
      </c>
      <c r="AE34" s="106"/>
      <c r="AF34" s="106"/>
    </row>
    <row r="35" spans="1:32" x14ac:dyDescent="0.3">
      <c r="A35" s="126"/>
      <c r="B35" s="11" t="s">
        <v>63</v>
      </c>
      <c r="C35" s="19" t="s">
        <v>185</v>
      </c>
      <c r="D35" s="19" t="s">
        <v>186</v>
      </c>
      <c r="E35" s="25" t="s">
        <v>187</v>
      </c>
      <c r="F35" s="10" t="s">
        <v>156</v>
      </c>
      <c r="G35" s="6" t="s">
        <v>165</v>
      </c>
      <c r="H35" s="6" t="s">
        <v>36</v>
      </c>
      <c r="I35" s="15">
        <v>-1</v>
      </c>
      <c r="J35" s="15">
        <v>-1</v>
      </c>
      <c r="K35" s="15">
        <v>-1</v>
      </c>
      <c r="L35" s="15">
        <v>-1</v>
      </c>
      <c r="M35" s="15">
        <v>-1</v>
      </c>
      <c r="N35" s="15">
        <v>-1</v>
      </c>
      <c r="O35" s="2">
        <f t="shared" ref="O35:O66" si="9">I35*I$2+J35*J$2+K35*K$2+L35*L$2+M35*M$2+N35*N$2</f>
        <v>-14</v>
      </c>
      <c r="P35" s="122"/>
      <c r="Q35" s="123"/>
      <c r="R35" s="123"/>
      <c r="S35" s="123"/>
      <c r="T35" s="123"/>
      <c r="U35" s="124"/>
      <c r="V35" s="9"/>
      <c r="W35" s="9"/>
      <c r="X35" s="6">
        <f t="shared" si="2"/>
        <v>-1</v>
      </c>
      <c r="Y35" s="6">
        <f t="shared" si="3"/>
        <v>-1</v>
      </c>
      <c r="Z35" s="6">
        <f t="shared" si="4"/>
        <v>-1</v>
      </c>
      <c r="AA35" s="6">
        <f t="shared" si="5"/>
        <v>-1</v>
      </c>
      <c r="AB35" s="6">
        <f t="shared" si="6"/>
        <v>-1</v>
      </c>
      <c r="AC35" s="6">
        <f t="shared" si="7"/>
        <v>-1</v>
      </c>
      <c r="AD35" s="6">
        <f t="shared" si="1"/>
        <v>-14</v>
      </c>
      <c r="AE35" s="106"/>
      <c r="AF35" s="106"/>
    </row>
    <row r="36" spans="1:32" x14ac:dyDescent="0.3">
      <c r="A36" s="126"/>
      <c r="B36" s="11" t="s">
        <v>64</v>
      </c>
      <c r="C36" s="19" t="s">
        <v>185</v>
      </c>
      <c r="D36" s="19" t="s">
        <v>186</v>
      </c>
      <c r="E36" s="25" t="s">
        <v>187</v>
      </c>
      <c r="F36" s="10" t="s">
        <v>156</v>
      </c>
      <c r="G36" s="6" t="s">
        <v>165</v>
      </c>
      <c r="H36" s="6" t="s">
        <v>36</v>
      </c>
      <c r="I36" s="15">
        <v>-1</v>
      </c>
      <c r="J36" s="15">
        <v>-1</v>
      </c>
      <c r="K36" s="15">
        <v>-1</v>
      </c>
      <c r="L36" s="15">
        <v>-1</v>
      </c>
      <c r="M36" s="15">
        <v>-1</v>
      </c>
      <c r="N36" s="15">
        <v>-1</v>
      </c>
      <c r="O36" s="2">
        <f t="shared" si="9"/>
        <v>-14</v>
      </c>
      <c r="P36" s="122"/>
      <c r="Q36" s="123"/>
      <c r="R36" s="123"/>
      <c r="S36" s="123"/>
      <c r="T36" s="123"/>
      <c r="U36" s="124"/>
      <c r="V36" s="9"/>
      <c r="W36" s="9"/>
      <c r="X36" s="6">
        <f t="shared" si="2"/>
        <v>-1</v>
      </c>
      <c r="Y36" s="6">
        <f t="shared" si="3"/>
        <v>-1</v>
      </c>
      <c r="Z36" s="6">
        <f t="shared" si="4"/>
        <v>-1</v>
      </c>
      <c r="AA36" s="6">
        <f t="shared" si="5"/>
        <v>-1</v>
      </c>
      <c r="AB36" s="6">
        <f t="shared" si="6"/>
        <v>-1</v>
      </c>
      <c r="AC36" s="6">
        <f t="shared" si="7"/>
        <v>-1</v>
      </c>
      <c r="AD36" s="6">
        <f t="shared" si="1"/>
        <v>-14</v>
      </c>
      <c r="AE36" s="106"/>
      <c r="AF36" s="106"/>
    </row>
    <row r="37" spans="1:32" x14ac:dyDescent="0.3">
      <c r="A37" s="126"/>
      <c r="B37" s="11" t="s">
        <v>65</v>
      </c>
      <c r="C37" s="19" t="s">
        <v>185</v>
      </c>
      <c r="D37" s="19" t="s">
        <v>186</v>
      </c>
      <c r="E37" s="25" t="s">
        <v>187</v>
      </c>
      <c r="F37" s="10" t="s">
        <v>156</v>
      </c>
      <c r="G37" s="6" t="s">
        <v>165</v>
      </c>
      <c r="H37" s="6" t="s">
        <v>36</v>
      </c>
      <c r="I37" s="15">
        <v>-1</v>
      </c>
      <c r="J37" s="15">
        <v>-1</v>
      </c>
      <c r="K37" s="15">
        <v>-1</v>
      </c>
      <c r="L37" s="15">
        <v>-1</v>
      </c>
      <c r="M37" s="15">
        <v>-1</v>
      </c>
      <c r="N37" s="15">
        <v>-1</v>
      </c>
      <c r="O37" s="2">
        <f t="shared" si="9"/>
        <v>-14</v>
      </c>
      <c r="P37" s="122"/>
      <c r="Q37" s="123"/>
      <c r="R37" s="123"/>
      <c r="S37" s="123"/>
      <c r="T37" s="123"/>
      <c r="U37" s="124"/>
      <c r="V37" s="9"/>
      <c r="W37" s="9"/>
      <c r="X37" s="6">
        <f t="shared" si="2"/>
        <v>-1</v>
      </c>
      <c r="Y37" s="6">
        <f t="shared" si="3"/>
        <v>-1</v>
      </c>
      <c r="Z37" s="6">
        <f t="shared" si="4"/>
        <v>-1</v>
      </c>
      <c r="AA37" s="6">
        <f t="shared" si="5"/>
        <v>-1</v>
      </c>
      <c r="AB37" s="6">
        <f t="shared" si="6"/>
        <v>-1</v>
      </c>
      <c r="AC37" s="6">
        <f t="shared" si="7"/>
        <v>-1</v>
      </c>
      <c r="AD37" s="6">
        <f t="shared" si="1"/>
        <v>-14</v>
      </c>
      <c r="AE37" s="106"/>
      <c r="AF37" s="106"/>
    </row>
    <row r="38" spans="1:32" x14ac:dyDescent="0.3">
      <c r="A38" s="126"/>
      <c r="B38" s="11" t="s">
        <v>66</v>
      </c>
      <c r="C38" s="36"/>
      <c r="D38" s="36"/>
      <c r="E38" s="39"/>
      <c r="F38" s="17"/>
      <c r="G38" s="6"/>
      <c r="H38" s="6"/>
      <c r="I38" s="15">
        <v>-1</v>
      </c>
      <c r="J38" s="15">
        <v>-1</v>
      </c>
      <c r="K38" s="15">
        <v>-1</v>
      </c>
      <c r="L38" s="15">
        <v>-1</v>
      </c>
      <c r="M38" s="15">
        <v>-1</v>
      </c>
      <c r="N38" s="15">
        <v>-1</v>
      </c>
      <c r="O38" s="2">
        <f t="shared" si="9"/>
        <v>-14</v>
      </c>
      <c r="P38" s="122"/>
      <c r="Q38" s="123"/>
      <c r="R38" s="123"/>
      <c r="S38" s="123"/>
      <c r="T38" s="123"/>
      <c r="U38" s="124"/>
      <c r="V38" s="9"/>
      <c r="W38" s="9"/>
      <c r="X38" s="6">
        <f t="shared" si="2"/>
        <v>-1</v>
      </c>
      <c r="Y38" s="6">
        <f t="shared" si="3"/>
        <v>-1</v>
      </c>
      <c r="Z38" s="6">
        <f t="shared" si="4"/>
        <v>-1</v>
      </c>
      <c r="AA38" s="6">
        <f t="shared" si="5"/>
        <v>-1</v>
      </c>
      <c r="AB38" s="6">
        <f t="shared" si="6"/>
        <v>-1</v>
      </c>
      <c r="AC38" s="6">
        <f t="shared" si="7"/>
        <v>-1</v>
      </c>
      <c r="AD38" s="6">
        <f t="shared" si="1"/>
        <v>-14</v>
      </c>
      <c r="AE38" s="106"/>
      <c r="AF38" s="106"/>
    </row>
    <row r="39" spans="1:32" x14ac:dyDescent="0.3">
      <c r="A39" s="126"/>
      <c r="B39" s="11" t="s">
        <v>67</v>
      </c>
      <c r="C39" s="36"/>
      <c r="D39" s="36"/>
      <c r="E39" s="39"/>
      <c r="F39" s="17"/>
      <c r="G39" s="6"/>
      <c r="H39" s="6"/>
      <c r="I39" s="15">
        <v>-1</v>
      </c>
      <c r="J39" s="15">
        <v>-1</v>
      </c>
      <c r="K39" s="15">
        <v>-1</v>
      </c>
      <c r="L39" s="15">
        <v>-1</v>
      </c>
      <c r="M39" s="15">
        <v>-1</v>
      </c>
      <c r="N39" s="15">
        <v>-1</v>
      </c>
      <c r="O39" s="2">
        <f t="shared" si="9"/>
        <v>-14</v>
      </c>
      <c r="P39" s="122"/>
      <c r="Q39" s="123"/>
      <c r="R39" s="123"/>
      <c r="S39" s="123"/>
      <c r="T39" s="123"/>
      <c r="U39" s="124"/>
      <c r="V39" s="9"/>
      <c r="W39" s="9"/>
      <c r="X39" s="6">
        <f t="shared" si="2"/>
        <v>-1</v>
      </c>
      <c r="Y39" s="6">
        <f t="shared" si="3"/>
        <v>-1</v>
      </c>
      <c r="Z39" s="6">
        <f t="shared" si="4"/>
        <v>-1</v>
      </c>
      <c r="AA39" s="6">
        <f t="shared" si="5"/>
        <v>-1</v>
      </c>
      <c r="AB39" s="6">
        <f t="shared" si="6"/>
        <v>-1</v>
      </c>
      <c r="AC39" s="6">
        <f t="shared" si="7"/>
        <v>-1</v>
      </c>
      <c r="AD39" s="6">
        <f t="shared" si="1"/>
        <v>-14</v>
      </c>
      <c r="AE39" s="106"/>
      <c r="AF39" s="106"/>
    </row>
    <row r="40" spans="1:32" x14ac:dyDescent="0.3">
      <c r="A40" s="126"/>
      <c r="B40" s="11" t="s">
        <v>68</v>
      </c>
      <c r="C40" s="36"/>
      <c r="D40" s="36"/>
      <c r="E40" s="39"/>
      <c r="F40" s="17"/>
      <c r="G40" s="6"/>
      <c r="H40" s="6"/>
      <c r="I40" s="15">
        <v>-1</v>
      </c>
      <c r="J40" s="15">
        <v>-1</v>
      </c>
      <c r="K40" s="15">
        <v>-1</v>
      </c>
      <c r="L40" s="15">
        <v>-1</v>
      </c>
      <c r="M40" s="15">
        <v>-1</v>
      </c>
      <c r="N40" s="15">
        <v>-1</v>
      </c>
      <c r="O40" s="2">
        <f t="shared" si="9"/>
        <v>-14</v>
      </c>
      <c r="P40" s="122"/>
      <c r="Q40" s="123"/>
      <c r="R40" s="123"/>
      <c r="S40" s="123"/>
      <c r="T40" s="123"/>
      <c r="U40" s="124"/>
      <c r="V40" s="9"/>
      <c r="W40" s="9"/>
      <c r="X40" s="6">
        <f t="shared" si="2"/>
        <v>-1</v>
      </c>
      <c r="Y40" s="6">
        <f t="shared" si="3"/>
        <v>-1</v>
      </c>
      <c r="Z40" s="6">
        <f t="shared" si="4"/>
        <v>-1</v>
      </c>
      <c r="AA40" s="6">
        <f t="shared" si="5"/>
        <v>-1</v>
      </c>
      <c r="AB40" s="6">
        <f t="shared" si="6"/>
        <v>-1</v>
      </c>
      <c r="AC40" s="6">
        <f t="shared" si="7"/>
        <v>-1</v>
      </c>
      <c r="AD40" s="6">
        <f t="shared" si="1"/>
        <v>-14</v>
      </c>
      <c r="AE40" s="106"/>
      <c r="AF40" s="106"/>
    </row>
    <row r="41" spans="1:32" x14ac:dyDescent="0.3">
      <c r="A41" s="126"/>
      <c r="B41" s="11" t="s">
        <v>69</v>
      </c>
      <c r="C41" s="36"/>
      <c r="D41" s="36"/>
      <c r="E41" s="39"/>
      <c r="F41" s="17"/>
      <c r="G41" s="6"/>
      <c r="H41" s="6"/>
      <c r="I41" s="15">
        <v>-1</v>
      </c>
      <c r="J41" s="15">
        <v>-1</v>
      </c>
      <c r="K41" s="15">
        <v>-1</v>
      </c>
      <c r="L41" s="15">
        <v>-1</v>
      </c>
      <c r="M41" s="15">
        <v>-1</v>
      </c>
      <c r="N41" s="15">
        <v>-1</v>
      </c>
      <c r="O41" s="2">
        <f t="shared" si="9"/>
        <v>-14</v>
      </c>
      <c r="P41" s="122"/>
      <c r="Q41" s="123"/>
      <c r="R41" s="123"/>
      <c r="S41" s="123"/>
      <c r="T41" s="123"/>
      <c r="U41" s="124"/>
      <c r="V41" s="9"/>
      <c r="W41" s="9"/>
      <c r="X41" s="6">
        <f t="shared" si="2"/>
        <v>-1</v>
      </c>
      <c r="Y41" s="6">
        <f t="shared" si="3"/>
        <v>-1</v>
      </c>
      <c r="Z41" s="6">
        <f t="shared" si="4"/>
        <v>-1</v>
      </c>
      <c r="AA41" s="6">
        <f t="shared" si="5"/>
        <v>-1</v>
      </c>
      <c r="AB41" s="6">
        <f t="shared" si="6"/>
        <v>-1</v>
      </c>
      <c r="AC41" s="6">
        <f t="shared" si="7"/>
        <v>-1</v>
      </c>
      <c r="AD41" s="6">
        <f t="shared" si="1"/>
        <v>-14</v>
      </c>
      <c r="AE41" s="106"/>
      <c r="AF41" s="106"/>
    </row>
    <row r="42" spans="1:32" x14ac:dyDescent="0.3">
      <c r="A42" s="126"/>
      <c r="B42" s="11" t="s">
        <v>70</v>
      </c>
      <c r="C42" s="36"/>
      <c r="D42" s="36"/>
      <c r="E42" s="39"/>
      <c r="F42" s="17"/>
      <c r="G42" s="6"/>
      <c r="H42" s="6"/>
      <c r="I42" s="15">
        <v>-1</v>
      </c>
      <c r="J42" s="15">
        <v>-1</v>
      </c>
      <c r="K42" s="15">
        <v>-1</v>
      </c>
      <c r="L42" s="15">
        <v>-1</v>
      </c>
      <c r="M42" s="15">
        <v>-1</v>
      </c>
      <c r="N42" s="15">
        <v>-1</v>
      </c>
      <c r="O42" s="2">
        <f t="shared" si="9"/>
        <v>-14</v>
      </c>
      <c r="P42" s="122"/>
      <c r="Q42" s="123"/>
      <c r="R42" s="123"/>
      <c r="S42" s="123"/>
      <c r="T42" s="123"/>
      <c r="U42" s="124"/>
      <c r="V42" s="9"/>
      <c r="W42" s="9"/>
      <c r="X42" s="6">
        <f t="shared" si="2"/>
        <v>-1</v>
      </c>
      <c r="Y42" s="6">
        <f t="shared" si="3"/>
        <v>-1</v>
      </c>
      <c r="Z42" s="6">
        <f t="shared" si="4"/>
        <v>-1</v>
      </c>
      <c r="AA42" s="6">
        <f t="shared" si="5"/>
        <v>-1</v>
      </c>
      <c r="AB42" s="6">
        <f t="shared" si="6"/>
        <v>-1</v>
      </c>
      <c r="AC42" s="6">
        <f t="shared" si="7"/>
        <v>-1</v>
      </c>
      <c r="AD42" s="6">
        <f t="shared" si="1"/>
        <v>-14</v>
      </c>
      <c r="AE42" s="106"/>
      <c r="AF42" s="106"/>
    </row>
    <row r="43" spans="1:32" x14ac:dyDescent="0.3">
      <c r="A43" s="126"/>
      <c r="B43" s="11" t="s">
        <v>71</v>
      </c>
      <c r="C43" s="19" t="s">
        <v>185</v>
      </c>
      <c r="D43" s="19" t="s">
        <v>163</v>
      </c>
      <c r="E43" s="25" t="s">
        <v>190</v>
      </c>
      <c r="F43" s="10" t="s">
        <v>156</v>
      </c>
      <c r="G43" s="6" t="s">
        <v>165</v>
      </c>
      <c r="H43" s="6" t="s">
        <v>36</v>
      </c>
      <c r="I43" s="15">
        <v>-1</v>
      </c>
      <c r="J43" s="15">
        <v>-1</v>
      </c>
      <c r="K43" s="15">
        <v>-1</v>
      </c>
      <c r="L43" s="15">
        <v>-1</v>
      </c>
      <c r="M43" s="15">
        <v>-1</v>
      </c>
      <c r="N43" s="15">
        <v>-1</v>
      </c>
      <c r="O43" s="2">
        <f t="shared" si="9"/>
        <v>-14</v>
      </c>
      <c r="P43" s="122"/>
      <c r="Q43" s="123"/>
      <c r="R43" s="123"/>
      <c r="S43" s="123"/>
      <c r="T43" s="123"/>
      <c r="U43" s="124"/>
      <c r="V43" s="9"/>
      <c r="W43" s="9"/>
      <c r="X43" s="6">
        <f t="shared" si="2"/>
        <v>-1</v>
      </c>
      <c r="Y43" s="6">
        <f t="shared" si="3"/>
        <v>-1</v>
      </c>
      <c r="Z43" s="6">
        <f t="shared" si="4"/>
        <v>-1</v>
      </c>
      <c r="AA43" s="6">
        <f t="shared" si="5"/>
        <v>-1</v>
      </c>
      <c r="AB43" s="6">
        <f t="shared" si="6"/>
        <v>-1</v>
      </c>
      <c r="AC43" s="6">
        <f t="shared" si="7"/>
        <v>-1</v>
      </c>
      <c r="AD43" s="6">
        <f t="shared" si="1"/>
        <v>-14</v>
      </c>
      <c r="AE43" s="106"/>
      <c r="AF43" s="106"/>
    </row>
    <row r="44" spans="1:32" x14ac:dyDescent="0.3">
      <c r="A44" s="126"/>
      <c r="B44" s="11" t="s">
        <v>72</v>
      </c>
      <c r="C44" s="36"/>
      <c r="D44" s="36"/>
      <c r="E44" s="39"/>
      <c r="F44" s="17"/>
      <c r="G44" s="6"/>
      <c r="H44" s="6"/>
      <c r="I44" s="15">
        <v>-1</v>
      </c>
      <c r="J44" s="15">
        <v>-1</v>
      </c>
      <c r="K44" s="15">
        <v>-1</v>
      </c>
      <c r="L44" s="15">
        <v>-1</v>
      </c>
      <c r="M44" s="15">
        <v>-1</v>
      </c>
      <c r="N44" s="15">
        <v>-1</v>
      </c>
      <c r="O44" s="2">
        <f t="shared" si="9"/>
        <v>-14</v>
      </c>
      <c r="P44" s="122"/>
      <c r="Q44" s="123"/>
      <c r="R44" s="123"/>
      <c r="S44" s="123"/>
      <c r="T44" s="123"/>
      <c r="U44" s="124"/>
      <c r="V44" s="9"/>
      <c r="W44" s="9"/>
      <c r="X44" s="6">
        <f t="shared" si="2"/>
        <v>-1</v>
      </c>
      <c r="Y44" s="6">
        <f t="shared" si="3"/>
        <v>-1</v>
      </c>
      <c r="Z44" s="6">
        <f t="shared" si="4"/>
        <v>-1</v>
      </c>
      <c r="AA44" s="6">
        <f t="shared" si="5"/>
        <v>-1</v>
      </c>
      <c r="AB44" s="6">
        <f t="shared" si="6"/>
        <v>-1</v>
      </c>
      <c r="AC44" s="6">
        <f t="shared" si="7"/>
        <v>-1</v>
      </c>
      <c r="AD44" s="6">
        <f t="shared" si="1"/>
        <v>-14</v>
      </c>
      <c r="AE44" s="106"/>
      <c r="AF44" s="106"/>
    </row>
    <row r="45" spans="1:32" x14ac:dyDescent="0.3">
      <c r="A45" s="126"/>
      <c r="B45" s="11" t="s">
        <v>73</v>
      </c>
      <c r="C45" s="36"/>
      <c r="D45" s="36"/>
      <c r="E45" s="39"/>
      <c r="F45" s="17"/>
      <c r="G45" s="6"/>
      <c r="H45" s="6"/>
      <c r="I45" s="15">
        <v>-1</v>
      </c>
      <c r="J45" s="15">
        <v>-1</v>
      </c>
      <c r="K45" s="15">
        <v>-1</v>
      </c>
      <c r="L45" s="15">
        <v>-1</v>
      </c>
      <c r="M45" s="15">
        <v>-1</v>
      </c>
      <c r="N45" s="15">
        <v>-1</v>
      </c>
      <c r="O45" s="2">
        <f t="shared" si="9"/>
        <v>-14</v>
      </c>
      <c r="P45" s="122"/>
      <c r="Q45" s="123"/>
      <c r="R45" s="123"/>
      <c r="S45" s="123"/>
      <c r="T45" s="123"/>
      <c r="U45" s="124"/>
      <c r="V45" s="9"/>
      <c r="W45" s="9"/>
      <c r="X45" s="6">
        <f t="shared" si="2"/>
        <v>-1</v>
      </c>
      <c r="Y45" s="6">
        <f t="shared" si="3"/>
        <v>-1</v>
      </c>
      <c r="Z45" s="6">
        <f t="shared" si="4"/>
        <v>-1</v>
      </c>
      <c r="AA45" s="6">
        <f t="shared" si="5"/>
        <v>-1</v>
      </c>
      <c r="AB45" s="6">
        <f t="shared" si="6"/>
        <v>-1</v>
      </c>
      <c r="AC45" s="6">
        <f t="shared" si="7"/>
        <v>-1</v>
      </c>
      <c r="AD45" s="6">
        <f t="shared" si="1"/>
        <v>-14</v>
      </c>
      <c r="AE45" s="106"/>
      <c r="AF45" s="106"/>
    </row>
    <row r="46" spans="1:32" x14ac:dyDescent="0.3">
      <c r="A46" s="126"/>
      <c r="B46" s="11" t="s">
        <v>74</v>
      </c>
      <c r="C46" s="36"/>
      <c r="D46" s="36"/>
      <c r="E46" s="39"/>
      <c r="F46" s="17"/>
      <c r="G46" s="6"/>
      <c r="H46" s="6"/>
      <c r="I46" s="15">
        <v>-1</v>
      </c>
      <c r="J46" s="15">
        <v>-1</v>
      </c>
      <c r="K46" s="15">
        <v>-1</v>
      </c>
      <c r="L46" s="15">
        <v>-1</v>
      </c>
      <c r="M46" s="15">
        <v>-1</v>
      </c>
      <c r="N46" s="15">
        <v>-1</v>
      </c>
      <c r="O46" s="2">
        <f t="shared" si="9"/>
        <v>-14</v>
      </c>
      <c r="P46" s="122"/>
      <c r="Q46" s="123"/>
      <c r="R46" s="123"/>
      <c r="S46" s="123"/>
      <c r="T46" s="123"/>
      <c r="U46" s="124"/>
      <c r="V46" s="9"/>
      <c r="W46" s="9"/>
      <c r="X46" s="6">
        <f t="shared" si="2"/>
        <v>-1</v>
      </c>
      <c r="Y46" s="6">
        <f t="shared" si="3"/>
        <v>-1</v>
      </c>
      <c r="Z46" s="6">
        <f t="shared" si="4"/>
        <v>-1</v>
      </c>
      <c r="AA46" s="6">
        <f t="shared" si="5"/>
        <v>-1</v>
      </c>
      <c r="AB46" s="6">
        <f t="shared" si="6"/>
        <v>-1</v>
      </c>
      <c r="AC46" s="6">
        <f t="shared" si="7"/>
        <v>-1</v>
      </c>
      <c r="AD46" s="6">
        <f t="shared" si="1"/>
        <v>-14</v>
      </c>
      <c r="AE46" s="106"/>
      <c r="AF46" s="106"/>
    </row>
    <row r="47" spans="1:32" x14ac:dyDescent="0.3">
      <c r="A47" s="126"/>
      <c r="B47" s="11" t="s">
        <v>75</v>
      </c>
      <c r="C47" s="36"/>
      <c r="D47" s="36"/>
      <c r="E47" s="39"/>
      <c r="F47" s="17"/>
      <c r="G47" s="6"/>
      <c r="H47" s="6"/>
      <c r="I47" s="15">
        <v>-1</v>
      </c>
      <c r="J47" s="15">
        <v>-1</v>
      </c>
      <c r="K47" s="15">
        <v>-1</v>
      </c>
      <c r="L47" s="15">
        <v>-1</v>
      </c>
      <c r="M47" s="15">
        <v>-1</v>
      </c>
      <c r="N47" s="15">
        <v>-1</v>
      </c>
      <c r="O47" s="2">
        <f t="shared" si="9"/>
        <v>-14</v>
      </c>
      <c r="P47" s="122"/>
      <c r="Q47" s="123"/>
      <c r="R47" s="123"/>
      <c r="S47" s="123"/>
      <c r="T47" s="123"/>
      <c r="U47" s="124"/>
      <c r="V47" s="9"/>
      <c r="W47" s="9"/>
      <c r="X47" s="6">
        <f t="shared" si="2"/>
        <v>-1</v>
      </c>
      <c r="Y47" s="6">
        <f t="shared" si="3"/>
        <v>-1</v>
      </c>
      <c r="Z47" s="6">
        <f t="shared" si="4"/>
        <v>-1</v>
      </c>
      <c r="AA47" s="6">
        <f t="shared" si="5"/>
        <v>-1</v>
      </c>
      <c r="AB47" s="6">
        <f t="shared" si="6"/>
        <v>-1</v>
      </c>
      <c r="AC47" s="6">
        <f t="shared" si="7"/>
        <v>-1</v>
      </c>
      <c r="AD47" s="6">
        <f t="shared" si="1"/>
        <v>-14</v>
      </c>
      <c r="AE47" s="106"/>
      <c r="AF47" s="106"/>
    </row>
    <row r="48" spans="1:32" x14ac:dyDescent="0.3">
      <c r="A48" s="126"/>
      <c r="B48" s="11" t="s">
        <v>76</v>
      </c>
      <c r="C48" s="36"/>
      <c r="D48" s="36"/>
      <c r="E48" s="39"/>
      <c r="F48" s="17"/>
      <c r="G48" s="6"/>
      <c r="H48" s="6"/>
      <c r="I48" s="15">
        <v>-1</v>
      </c>
      <c r="J48" s="15">
        <v>-1</v>
      </c>
      <c r="K48" s="15">
        <v>-1</v>
      </c>
      <c r="L48" s="15">
        <v>-1</v>
      </c>
      <c r="M48" s="15">
        <v>-1</v>
      </c>
      <c r="N48" s="15">
        <v>-1</v>
      </c>
      <c r="O48" s="2">
        <f t="shared" si="9"/>
        <v>-14</v>
      </c>
      <c r="P48" s="122"/>
      <c r="Q48" s="123"/>
      <c r="R48" s="123"/>
      <c r="S48" s="123"/>
      <c r="T48" s="123"/>
      <c r="U48" s="124"/>
      <c r="V48" s="9"/>
      <c r="W48" s="9"/>
      <c r="X48" s="6">
        <f t="shared" si="2"/>
        <v>-1</v>
      </c>
      <c r="Y48" s="6">
        <f t="shared" si="3"/>
        <v>-1</v>
      </c>
      <c r="Z48" s="6">
        <f t="shared" si="4"/>
        <v>-1</v>
      </c>
      <c r="AA48" s="6">
        <f t="shared" si="5"/>
        <v>-1</v>
      </c>
      <c r="AB48" s="6">
        <f t="shared" si="6"/>
        <v>-1</v>
      </c>
      <c r="AC48" s="6">
        <f t="shared" si="7"/>
        <v>-1</v>
      </c>
      <c r="AD48" s="6">
        <f t="shared" si="1"/>
        <v>-14</v>
      </c>
      <c r="AE48" s="106"/>
      <c r="AF48" s="106"/>
    </row>
    <row r="49" spans="1:32" x14ac:dyDescent="0.3">
      <c r="A49" s="126"/>
      <c r="B49" s="11" t="s">
        <v>77</v>
      </c>
      <c r="C49" s="36"/>
      <c r="D49" s="36"/>
      <c r="E49" s="39"/>
      <c r="F49" s="17"/>
      <c r="G49" s="6"/>
      <c r="H49" s="6"/>
      <c r="I49" s="15">
        <v>-1</v>
      </c>
      <c r="J49" s="15">
        <v>-1</v>
      </c>
      <c r="K49" s="15">
        <v>-1</v>
      </c>
      <c r="L49" s="15">
        <v>-1</v>
      </c>
      <c r="M49" s="15">
        <v>-1</v>
      </c>
      <c r="N49" s="15">
        <v>-1</v>
      </c>
      <c r="O49" s="2">
        <f t="shared" si="9"/>
        <v>-14</v>
      </c>
      <c r="P49" s="122"/>
      <c r="Q49" s="123"/>
      <c r="R49" s="123"/>
      <c r="S49" s="123"/>
      <c r="T49" s="123"/>
      <c r="U49" s="124"/>
      <c r="V49" s="9"/>
      <c r="W49" s="9"/>
      <c r="X49" s="6">
        <f t="shared" si="2"/>
        <v>-1</v>
      </c>
      <c r="Y49" s="6">
        <f t="shared" si="3"/>
        <v>-1</v>
      </c>
      <c r="Z49" s="6">
        <f t="shared" si="4"/>
        <v>-1</v>
      </c>
      <c r="AA49" s="6">
        <f t="shared" si="5"/>
        <v>-1</v>
      </c>
      <c r="AB49" s="6">
        <f t="shared" si="6"/>
        <v>-1</v>
      </c>
      <c r="AC49" s="6">
        <f t="shared" si="7"/>
        <v>-1</v>
      </c>
      <c r="AD49" s="6">
        <f t="shared" si="1"/>
        <v>-14</v>
      </c>
      <c r="AE49" s="106"/>
      <c r="AF49" s="106"/>
    </row>
    <row r="50" spans="1:32" x14ac:dyDescent="0.3">
      <c r="A50" s="126"/>
      <c r="B50" s="11" t="s">
        <v>78</v>
      </c>
      <c r="C50" s="36"/>
      <c r="D50" s="36"/>
      <c r="E50" s="39"/>
      <c r="F50" s="17"/>
      <c r="G50" s="6"/>
      <c r="H50" s="6"/>
      <c r="I50" s="15">
        <v>-1</v>
      </c>
      <c r="J50" s="15">
        <v>-1</v>
      </c>
      <c r="K50" s="15">
        <v>-1</v>
      </c>
      <c r="L50" s="15">
        <v>-1</v>
      </c>
      <c r="M50" s="15">
        <v>-1</v>
      </c>
      <c r="N50" s="15">
        <v>-1</v>
      </c>
      <c r="O50" s="2">
        <f t="shared" si="9"/>
        <v>-14</v>
      </c>
      <c r="P50" s="122"/>
      <c r="Q50" s="123"/>
      <c r="R50" s="123"/>
      <c r="S50" s="123"/>
      <c r="T50" s="123"/>
      <c r="U50" s="124"/>
      <c r="V50" s="9"/>
      <c r="W50" s="9"/>
      <c r="X50" s="6">
        <f t="shared" si="2"/>
        <v>-1</v>
      </c>
      <c r="Y50" s="6">
        <f t="shared" si="3"/>
        <v>-1</v>
      </c>
      <c r="Z50" s="6">
        <f t="shared" si="4"/>
        <v>-1</v>
      </c>
      <c r="AA50" s="6">
        <f t="shared" si="5"/>
        <v>-1</v>
      </c>
      <c r="AB50" s="6">
        <f t="shared" si="6"/>
        <v>-1</v>
      </c>
      <c r="AC50" s="6">
        <f t="shared" si="7"/>
        <v>-1</v>
      </c>
      <c r="AD50" s="6">
        <f t="shared" si="1"/>
        <v>-14</v>
      </c>
      <c r="AE50" s="106"/>
      <c r="AF50" s="106"/>
    </row>
    <row r="51" spans="1:32" x14ac:dyDescent="0.3">
      <c r="A51" s="126"/>
      <c r="B51" s="11" t="s">
        <v>79</v>
      </c>
      <c r="C51" s="36"/>
      <c r="D51" s="36"/>
      <c r="E51" s="39"/>
      <c r="F51" s="17"/>
      <c r="G51" s="6"/>
      <c r="H51" s="6"/>
      <c r="I51" s="15">
        <v>-1</v>
      </c>
      <c r="J51" s="15">
        <v>-1</v>
      </c>
      <c r="K51" s="15">
        <v>-1</v>
      </c>
      <c r="L51" s="15">
        <v>-1</v>
      </c>
      <c r="M51" s="15">
        <v>-1</v>
      </c>
      <c r="N51" s="15">
        <v>-1</v>
      </c>
      <c r="O51" s="2">
        <f t="shared" si="9"/>
        <v>-14</v>
      </c>
      <c r="P51" s="122"/>
      <c r="Q51" s="123"/>
      <c r="R51" s="123"/>
      <c r="S51" s="123"/>
      <c r="T51" s="123"/>
      <c r="U51" s="124"/>
      <c r="V51" s="9"/>
      <c r="W51" s="9"/>
      <c r="X51" s="6">
        <f t="shared" si="2"/>
        <v>-1</v>
      </c>
      <c r="Y51" s="6">
        <f t="shared" si="3"/>
        <v>-1</v>
      </c>
      <c r="Z51" s="6">
        <f t="shared" si="4"/>
        <v>-1</v>
      </c>
      <c r="AA51" s="6">
        <f t="shared" si="5"/>
        <v>-1</v>
      </c>
      <c r="AB51" s="6">
        <f t="shared" si="6"/>
        <v>-1</v>
      </c>
      <c r="AC51" s="6">
        <f t="shared" si="7"/>
        <v>-1</v>
      </c>
      <c r="AD51" s="6">
        <f t="shared" si="1"/>
        <v>-14</v>
      </c>
      <c r="AE51" s="106"/>
      <c r="AF51" s="106"/>
    </row>
    <row r="52" spans="1:32" x14ac:dyDescent="0.3">
      <c r="A52" s="126"/>
      <c r="B52" s="11" t="s">
        <v>80</v>
      </c>
      <c r="C52" s="36"/>
      <c r="D52" s="36"/>
      <c r="E52" s="39"/>
      <c r="F52" s="17"/>
      <c r="G52" s="6"/>
      <c r="H52" s="6"/>
      <c r="I52" s="15">
        <v>-1</v>
      </c>
      <c r="J52" s="15">
        <v>-1</v>
      </c>
      <c r="K52" s="15">
        <v>-1</v>
      </c>
      <c r="L52" s="15">
        <v>-1</v>
      </c>
      <c r="M52" s="15">
        <v>-1</v>
      </c>
      <c r="N52" s="15">
        <v>-1</v>
      </c>
      <c r="O52" s="2">
        <f t="shared" si="9"/>
        <v>-14</v>
      </c>
      <c r="P52" s="122"/>
      <c r="Q52" s="123"/>
      <c r="R52" s="123"/>
      <c r="S52" s="123"/>
      <c r="T52" s="123"/>
      <c r="U52" s="124"/>
      <c r="V52" s="9"/>
      <c r="W52" s="9"/>
      <c r="X52" s="6">
        <f t="shared" si="2"/>
        <v>-1</v>
      </c>
      <c r="Y52" s="6">
        <f t="shared" si="3"/>
        <v>-1</v>
      </c>
      <c r="Z52" s="6">
        <f t="shared" si="4"/>
        <v>-1</v>
      </c>
      <c r="AA52" s="6">
        <f t="shared" si="5"/>
        <v>-1</v>
      </c>
      <c r="AB52" s="6">
        <f t="shared" si="6"/>
        <v>-1</v>
      </c>
      <c r="AC52" s="6">
        <f t="shared" si="7"/>
        <v>-1</v>
      </c>
      <c r="AD52" s="6">
        <f t="shared" si="1"/>
        <v>-14</v>
      </c>
      <c r="AE52" s="106"/>
      <c r="AF52" s="106"/>
    </row>
    <row r="53" spans="1:32" x14ac:dyDescent="0.3">
      <c r="A53" s="126"/>
      <c r="B53" s="11" t="s">
        <v>81</v>
      </c>
      <c r="C53" s="36"/>
      <c r="D53" s="36"/>
      <c r="E53" s="39"/>
      <c r="F53" s="17"/>
      <c r="G53" s="6"/>
      <c r="H53" s="6"/>
      <c r="I53" s="15">
        <v>-1</v>
      </c>
      <c r="J53" s="15">
        <v>-1</v>
      </c>
      <c r="K53" s="15">
        <v>-1</v>
      </c>
      <c r="L53" s="15">
        <v>-1</v>
      </c>
      <c r="M53" s="15">
        <v>-1</v>
      </c>
      <c r="N53" s="15">
        <v>-1</v>
      </c>
      <c r="O53" s="2">
        <f t="shared" si="9"/>
        <v>-14</v>
      </c>
      <c r="P53" s="122"/>
      <c r="Q53" s="123"/>
      <c r="R53" s="123"/>
      <c r="S53" s="123"/>
      <c r="T53" s="123"/>
      <c r="U53" s="124"/>
      <c r="V53" s="9"/>
      <c r="W53" s="9"/>
      <c r="X53" s="6">
        <f t="shared" si="2"/>
        <v>-1</v>
      </c>
      <c r="Y53" s="6">
        <f t="shared" si="3"/>
        <v>-1</v>
      </c>
      <c r="Z53" s="6">
        <f t="shared" si="4"/>
        <v>-1</v>
      </c>
      <c r="AA53" s="6">
        <f t="shared" si="5"/>
        <v>-1</v>
      </c>
      <c r="AB53" s="6">
        <f t="shared" si="6"/>
        <v>-1</v>
      </c>
      <c r="AC53" s="6">
        <f t="shared" si="7"/>
        <v>-1</v>
      </c>
      <c r="AD53" s="6">
        <f t="shared" si="1"/>
        <v>-14</v>
      </c>
      <c r="AE53" s="106"/>
      <c r="AF53" s="106"/>
    </row>
    <row r="54" spans="1:32" x14ac:dyDescent="0.3">
      <c r="A54" s="126"/>
      <c r="B54" s="11" t="s">
        <v>82</v>
      </c>
      <c r="C54" s="36"/>
      <c r="D54" s="36"/>
      <c r="E54" s="39"/>
      <c r="F54" s="17"/>
      <c r="G54" s="6"/>
      <c r="H54" s="6"/>
      <c r="I54" s="15">
        <v>-1</v>
      </c>
      <c r="J54" s="15">
        <v>-1</v>
      </c>
      <c r="K54" s="15">
        <v>-1</v>
      </c>
      <c r="L54" s="15">
        <v>-1</v>
      </c>
      <c r="M54" s="15">
        <v>-1</v>
      </c>
      <c r="N54" s="15">
        <v>-1</v>
      </c>
      <c r="O54" s="2">
        <f t="shared" si="9"/>
        <v>-14</v>
      </c>
      <c r="P54" s="122"/>
      <c r="Q54" s="123"/>
      <c r="R54" s="123"/>
      <c r="S54" s="123"/>
      <c r="T54" s="123"/>
      <c r="U54" s="124"/>
      <c r="V54" s="9"/>
      <c r="W54" s="9"/>
      <c r="X54" s="6">
        <f t="shared" si="2"/>
        <v>-1</v>
      </c>
      <c r="Y54" s="6">
        <f t="shared" si="3"/>
        <v>-1</v>
      </c>
      <c r="Z54" s="6">
        <f t="shared" si="4"/>
        <v>-1</v>
      </c>
      <c r="AA54" s="6">
        <f t="shared" si="5"/>
        <v>-1</v>
      </c>
      <c r="AB54" s="6">
        <f t="shared" si="6"/>
        <v>-1</v>
      </c>
      <c r="AC54" s="6">
        <f t="shared" si="7"/>
        <v>-1</v>
      </c>
      <c r="AD54" s="6">
        <f t="shared" si="1"/>
        <v>-14</v>
      </c>
      <c r="AE54" s="106"/>
      <c r="AF54" s="106"/>
    </row>
    <row r="55" spans="1:32" x14ac:dyDescent="0.3">
      <c r="A55" s="126"/>
      <c r="B55" s="11" t="s">
        <v>83</v>
      </c>
      <c r="C55" s="36"/>
      <c r="D55" s="36"/>
      <c r="E55" s="39"/>
      <c r="F55" s="17"/>
      <c r="G55" s="6"/>
      <c r="H55" s="6"/>
      <c r="I55" s="15">
        <v>-1</v>
      </c>
      <c r="J55" s="15">
        <v>-1</v>
      </c>
      <c r="K55" s="15">
        <v>-1</v>
      </c>
      <c r="L55" s="15">
        <v>-1</v>
      </c>
      <c r="M55" s="15">
        <v>-1</v>
      </c>
      <c r="N55" s="15">
        <v>-1</v>
      </c>
      <c r="O55" s="2">
        <f t="shared" si="9"/>
        <v>-14</v>
      </c>
      <c r="P55" s="122"/>
      <c r="Q55" s="123"/>
      <c r="R55" s="123"/>
      <c r="S55" s="123"/>
      <c r="T55" s="123"/>
      <c r="U55" s="124"/>
      <c r="V55" s="9"/>
      <c r="W55" s="9"/>
      <c r="X55" s="6">
        <f t="shared" si="2"/>
        <v>-1</v>
      </c>
      <c r="Y55" s="6">
        <f t="shared" si="3"/>
        <v>-1</v>
      </c>
      <c r="Z55" s="6">
        <f t="shared" si="4"/>
        <v>-1</v>
      </c>
      <c r="AA55" s="6">
        <f t="shared" si="5"/>
        <v>-1</v>
      </c>
      <c r="AB55" s="6">
        <f t="shared" si="6"/>
        <v>-1</v>
      </c>
      <c r="AC55" s="6">
        <f t="shared" si="7"/>
        <v>-1</v>
      </c>
      <c r="AD55" s="6">
        <f t="shared" si="1"/>
        <v>-14</v>
      </c>
      <c r="AE55" s="106"/>
      <c r="AF55" s="106"/>
    </row>
    <row r="56" spans="1:32" x14ac:dyDescent="0.3">
      <c r="A56" s="126"/>
      <c r="B56" s="11" t="s">
        <v>84</v>
      </c>
      <c r="C56" s="36"/>
      <c r="D56" s="36"/>
      <c r="E56" s="39"/>
      <c r="F56" s="17"/>
      <c r="G56" s="6"/>
      <c r="H56" s="6"/>
      <c r="I56" s="15">
        <v>-1</v>
      </c>
      <c r="J56" s="15">
        <v>-1</v>
      </c>
      <c r="K56" s="15">
        <v>-1</v>
      </c>
      <c r="L56" s="15">
        <v>-1</v>
      </c>
      <c r="M56" s="15">
        <v>-1</v>
      </c>
      <c r="N56" s="15">
        <v>-1</v>
      </c>
      <c r="O56" s="2">
        <f t="shared" si="9"/>
        <v>-14</v>
      </c>
      <c r="P56" s="122"/>
      <c r="Q56" s="123"/>
      <c r="R56" s="123"/>
      <c r="S56" s="123"/>
      <c r="T56" s="123"/>
      <c r="U56" s="124"/>
      <c r="V56" s="9"/>
      <c r="W56" s="9"/>
      <c r="X56" s="6">
        <f t="shared" si="2"/>
        <v>-1</v>
      </c>
      <c r="Y56" s="6">
        <f t="shared" si="3"/>
        <v>-1</v>
      </c>
      <c r="Z56" s="6">
        <f t="shared" si="4"/>
        <v>-1</v>
      </c>
      <c r="AA56" s="6">
        <f t="shared" si="5"/>
        <v>-1</v>
      </c>
      <c r="AB56" s="6">
        <f t="shared" si="6"/>
        <v>-1</v>
      </c>
      <c r="AC56" s="6">
        <f t="shared" si="7"/>
        <v>-1</v>
      </c>
      <c r="AD56" s="6">
        <f t="shared" si="1"/>
        <v>-14</v>
      </c>
      <c r="AE56" s="106"/>
      <c r="AF56" s="106"/>
    </row>
    <row r="57" spans="1:32" x14ac:dyDescent="0.3">
      <c r="A57" s="126"/>
      <c r="B57" s="11" t="s">
        <v>85</v>
      </c>
      <c r="C57" s="36"/>
      <c r="D57" s="36"/>
      <c r="E57" s="39"/>
      <c r="F57" s="17"/>
      <c r="G57" s="6"/>
      <c r="H57" s="6"/>
      <c r="I57" s="15">
        <v>-1</v>
      </c>
      <c r="J57" s="15">
        <v>-1</v>
      </c>
      <c r="K57" s="15">
        <v>-1</v>
      </c>
      <c r="L57" s="15">
        <v>-1</v>
      </c>
      <c r="M57" s="15">
        <v>-1</v>
      </c>
      <c r="N57" s="15">
        <v>-1</v>
      </c>
      <c r="O57" s="2">
        <f t="shared" si="9"/>
        <v>-14</v>
      </c>
      <c r="P57" s="122"/>
      <c r="Q57" s="123"/>
      <c r="R57" s="123"/>
      <c r="S57" s="123"/>
      <c r="T57" s="123"/>
      <c r="U57" s="124"/>
      <c r="V57" s="9"/>
      <c r="W57" s="9"/>
      <c r="X57" s="6">
        <f t="shared" si="2"/>
        <v>-1</v>
      </c>
      <c r="Y57" s="6">
        <f t="shared" si="3"/>
        <v>-1</v>
      </c>
      <c r="Z57" s="6">
        <f t="shared" si="4"/>
        <v>-1</v>
      </c>
      <c r="AA57" s="6">
        <f t="shared" si="5"/>
        <v>-1</v>
      </c>
      <c r="AB57" s="6">
        <f t="shared" si="6"/>
        <v>-1</v>
      </c>
      <c r="AC57" s="6">
        <f t="shared" si="7"/>
        <v>-1</v>
      </c>
      <c r="AD57" s="6">
        <f t="shared" si="1"/>
        <v>-14</v>
      </c>
      <c r="AE57" s="106"/>
      <c r="AF57" s="106"/>
    </row>
    <row r="58" spans="1:32" x14ac:dyDescent="0.3">
      <c r="A58" s="126"/>
      <c r="B58" s="11" t="s">
        <v>86</v>
      </c>
      <c r="C58" s="36"/>
      <c r="D58" s="36"/>
      <c r="E58" s="39"/>
      <c r="F58" s="17"/>
      <c r="G58" s="6"/>
      <c r="H58" s="6"/>
      <c r="I58" s="15">
        <v>-1</v>
      </c>
      <c r="J58" s="15">
        <v>-1</v>
      </c>
      <c r="K58" s="15">
        <v>-1</v>
      </c>
      <c r="L58" s="15">
        <v>-1</v>
      </c>
      <c r="M58" s="15">
        <v>-1</v>
      </c>
      <c r="N58" s="15">
        <v>-1</v>
      </c>
      <c r="O58" s="2">
        <f t="shared" si="9"/>
        <v>-14</v>
      </c>
      <c r="P58" s="122"/>
      <c r="Q58" s="123"/>
      <c r="R58" s="123"/>
      <c r="S58" s="123"/>
      <c r="T58" s="123"/>
      <c r="U58" s="124"/>
      <c r="V58" s="9"/>
      <c r="W58" s="9"/>
      <c r="X58" s="6">
        <f t="shared" si="2"/>
        <v>-1</v>
      </c>
      <c r="Y58" s="6">
        <f t="shared" si="3"/>
        <v>-1</v>
      </c>
      <c r="Z58" s="6">
        <f t="shared" si="4"/>
        <v>-1</v>
      </c>
      <c r="AA58" s="6">
        <f t="shared" si="5"/>
        <v>-1</v>
      </c>
      <c r="AB58" s="6">
        <f t="shared" si="6"/>
        <v>-1</v>
      </c>
      <c r="AC58" s="6">
        <f t="shared" si="7"/>
        <v>-1</v>
      </c>
      <c r="AD58" s="6">
        <f t="shared" si="1"/>
        <v>-14</v>
      </c>
      <c r="AE58" s="106"/>
      <c r="AF58" s="106"/>
    </row>
    <row r="59" spans="1:32" x14ac:dyDescent="0.3">
      <c r="A59" s="126"/>
      <c r="B59" s="11" t="s">
        <v>87</v>
      </c>
      <c r="C59" s="36"/>
      <c r="D59" s="36"/>
      <c r="E59" s="39"/>
      <c r="F59" s="17"/>
      <c r="G59" s="6"/>
      <c r="H59" s="6"/>
      <c r="I59" s="15">
        <v>-1</v>
      </c>
      <c r="J59" s="15">
        <v>-1</v>
      </c>
      <c r="K59" s="15">
        <v>-1</v>
      </c>
      <c r="L59" s="15">
        <v>-1</v>
      </c>
      <c r="M59" s="15">
        <v>-1</v>
      </c>
      <c r="N59" s="15">
        <v>-1</v>
      </c>
      <c r="O59" s="2">
        <f t="shared" si="9"/>
        <v>-14</v>
      </c>
      <c r="P59" s="122"/>
      <c r="Q59" s="123"/>
      <c r="R59" s="123"/>
      <c r="S59" s="123"/>
      <c r="T59" s="123"/>
      <c r="U59" s="124"/>
      <c r="V59" s="9"/>
      <c r="W59" s="9"/>
      <c r="X59" s="6">
        <f t="shared" si="2"/>
        <v>-1</v>
      </c>
      <c r="Y59" s="6">
        <f t="shared" si="3"/>
        <v>-1</v>
      </c>
      <c r="Z59" s="6">
        <f t="shared" si="4"/>
        <v>-1</v>
      </c>
      <c r="AA59" s="6">
        <f t="shared" si="5"/>
        <v>-1</v>
      </c>
      <c r="AB59" s="6">
        <f t="shared" si="6"/>
        <v>-1</v>
      </c>
      <c r="AC59" s="6">
        <f t="shared" si="7"/>
        <v>-1</v>
      </c>
      <c r="AD59" s="6">
        <f t="shared" si="1"/>
        <v>-14</v>
      </c>
      <c r="AE59" s="106"/>
      <c r="AF59" s="106"/>
    </row>
    <row r="60" spans="1:32" x14ac:dyDescent="0.3">
      <c r="A60" s="126"/>
      <c r="B60" s="11" t="s">
        <v>88</v>
      </c>
      <c r="C60" s="36"/>
      <c r="D60" s="36"/>
      <c r="E60" s="39"/>
      <c r="F60" s="17"/>
      <c r="G60" s="6"/>
      <c r="H60" s="6"/>
      <c r="I60" s="15">
        <v>-1</v>
      </c>
      <c r="J60" s="15">
        <v>-1</v>
      </c>
      <c r="K60" s="15">
        <v>-1</v>
      </c>
      <c r="L60" s="15">
        <v>-1</v>
      </c>
      <c r="M60" s="15">
        <v>-1</v>
      </c>
      <c r="N60" s="15">
        <v>-1</v>
      </c>
      <c r="O60" s="2">
        <f t="shared" si="9"/>
        <v>-14</v>
      </c>
      <c r="P60" s="122"/>
      <c r="Q60" s="123"/>
      <c r="R60" s="123"/>
      <c r="S60" s="123"/>
      <c r="T60" s="123"/>
      <c r="U60" s="124"/>
      <c r="V60" s="9"/>
      <c r="W60" s="9"/>
      <c r="X60" s="6">
        <f t="shared" si="2"/>
        <v>-1</v>
      </c>
      <c r="Y60" s="6">
        <f t="shared" si="3"/>
        <v>-1</v>
      </c>
      <c r="Z60" s="6">
        <f t="shared" si="4"/>
        <v>-1</v>
      </c>
      <c r="AA60" s="6">
        <f t="shared" si="5"/>
        <v>-1</v>
      </c>
      <c r="AB60" s="6">
        <f t="shared" si="6"/>
        <v>-1</v>
      </c>
      <c r="AC60" s="6">
        <f t="shared" si="7"/>
        <v>-1</v>
      </c>
      <c r="AD60" s="6">
        <f t="shared" si="1"/>
        <v>-14</v>
      </c>
      <c r="AE60" s="106"/>
      <c r="AF60" s="106"/>
    </row>
    <row r="61" spans="1:32" x14ac:dyDescent="0.3">
      <c r="A61" s="126"/>
      <c r="B61" s="11" t="s">
        <v>89</v>
      </c>
      <c r="C61" s="36"/>
      <c r="D61" s="36"/>
      <c r="E61" s="39"/>
      <c r="F61" s="17"/>
      <c r="G61" s="6"/>
      <c r="H61" s="6"/>
      <c r="I61" s="15">
        <v>-1</v>
      </c>
      <c r="J61" s="15">
        <v>-1</v>
      </c>
      <c r="K61" s="15">
        <v>-1</v>
      </c>
      <c r="L61" s="15">
        <v>-1</v>
      </c>
      <c r="M61" s="15">
        <v>-1</v>
      </c>
      <c r="N61" s="15">
        <v>-1</v>
      </c>
      <c r="O61" s="2">
        <f t="shared" si="9"/>
        <v>-14</v>
      </c>
      <c r="P61" s="122"/>
      <c r="Q61" s="123"/>
      <c r="R61" s="123"/>
      <c r="S61" s="123"/>
      <c r="T61" s="123"/>
      <c r="U61" s="124"/>
      <c r="V61" s="9"/>
      <c r="W61" s="9"/>
      <c r="X61" s="6">
        <f t="shared" si="2"/>
        <v>-1</v>
      </c>
      <c r="Y61" s="6">
        <f t="shared" si="3"/>
        <v>-1</v>
      </c>
      <c r="Z61" s="6">
        <f t="shared" si="4"/>
        <v>-1</v>
      </c>
      <c r="AA61" s="6">
        <f t="shared" si="5"/>
        <v>-1</v>
      </c>
      <c r="AB61" s="6">
        <f t="shared" si="6"/>
        <v>-1</v>
      </c>
      <c r="AC61" s="6">
        <f t="shared" si="7"/>
        <v>-1</v>
      </c>
      <c r="AD61" s="6">
        <f t="shared" si="1"/>
        <v>-14</v>
      </c>
      <c r="AE61" s="106"/>
      <c r="AF61" s="106"/>
    </row>
    <row r="62" spans="1:32" x14ac:dyDescent="0.3">
      <c r="A62" s="126"/>
      <c r="B62" s="11" t="s">
        <v>90</v>
      </c>
      <c r="C62" s="36"/>
      <c r="D62" s="36"/>
      <c r="E62" s="39"/>
      <c r="F62" s="17"/>
      <c r="G62" s="6"/>
      <c r="H62" s="6"/>
      <c r="I62" s="15">
        <v>-1</v>
      </c>
      <c r="J62" s="15">
        <v>-1</v>
      </c>
      <c r="K62" s="15">
        <v>-1</v>
      </c>
      <c r="L62" s="15">
        <v>-1</v>
      </c>
      <c r="M62" s="15">
        <v>-1</v>
      </c>
      <c r="N62" s="15">
        <v>-1</v>
      </c>
      <c r="O62" s="2">
        <f t="shared" si="9"/>
        <v>-14</v>
      </c>
      <c r="P62" s="122"/>
      <c r="Q62" s="123"/>
      <c r="R62" s="123"/>
      <c r="S62" s="123"/>
      <c r="T62" s="123"/>
      <c r="U62" s="124"/>
      <c r="V62" s="9"/>
      <c r="W62" s="9"/>
      <c r="X62" s="6">
        <f t="shared" si="2"/>
        <v>-1</v>
      </c>
      <c r="Y62" s="6">
        <f t="shared" si="3"/>
        <v>-1</v>
      </c>
      <c r="Z62" s="6">
        <f t="shared" si="4"/>
        <v>-1</v>
      </c>
      <c r="AA62" s="6">
        <f t="shared" si="5"/>
        <v>-1</v>
      </c>
      <c r="AB62" s="6">
        <f t="shared" si="6"/>
        <v>-1</v>
      </c>
      <c r="AC62" s="6">
        <f t="shared" si="7"/>
        <v>-1</v>
      </c>
      <c r="AD62" s="6">
        <f t="shared" si="1"/>
        <v>-14</v>
      </c>
      <c r="AE62" s="106"/>
      <c r="AF62" s="106"/>
    </row>
    <row r="63" spans="1:32" x14ac:dyDescent="0.3">
      <c r="A63" s="126"/>
      <c r="B63" s="11" t="s">
        <v>91</v>
      </c>
      <c r="C63" s="36"/>
      <c r="D63" s="36"/>
      <c r="E63" s="39"/>
      <c r="F63" s="17"/>
      <c r="G63" s="6"/>
      <c r="H63" s="6"/>
      <c r="I63" s="15">
        <v>-1</v>
      </c>
      <c r="J63" s="15">
        <v>-1</v>
      </c>
      <c r="K63" s="15">
        <v>-1</v>
      </c>
      <c r="L63" s="15">
        <v>-1</v>
      </c>
      <c r="M63" s="15">
        <v>-1</v>
      </c>
      <c r="N63" s="15">
        <v>-1</v>
      </c>
      <c r="O63" s="2">
        <f t="shared" si="9"/>
        <v>-14</v>
      </c>
      <c r="P63" s="122"/>
      <c r="Q63" s="123"/>
      <c r="R63" s="123"/>
      <c r="S63" s="123"/>
      <c r="T63" s="123"/>
      <c r="U63" s="124"/>
      <c r="V63" s="9"/>
      <c r="W63" s="9"/>
      <c r="X63" s="6">
        <f t="shared" si="2"/>
        <v>-1</v>
      </c>
      <c r="Y63" s="6">
        <f t="shared" si="3"/>
        <v>-1</v>
      </c>
      <c r="Z63" s="6">
        <f t="shared" si="4"/>
        <v>-1</v>
      </c>
      <c r="AA63" s="6">
        <f t="shared" si="5"/>
        <v>-1</v>
      </c>
      <c r="AB63" s="6">
        <f t="shared" si="6"/>
        <v>-1</v>
      </c>
      <c r="AC63" s="6">
        <f t="shared" si="7"/>
        <v>-1</v>
      </c>
      <c r="AD63" s="6">
        <f t="shared" si="1"/>
        <v>-14</v>
      </c>
      <c r="AE63" s="106"/>
      <c r="AF63" s="106"/>
    </row>
    <row r="64" spans="1:32" x14ac:dyDescent="0.3">
      <c r="A64" s="126"/>
      <c r="B64" s="11" t="s">
        <v>92</v>
      </c>
      <c r="C64" s="36"/>
      <c r="D64" s="36"/>
      <c r="E64" s="39"/>
      <c r="F64" s="17"/>
      <c r="G64" s="6"/>
      <c r="H64" s="6"/>
      <c r="I64" s="15">
        <v>-1</v>
      </c>
      <c r="J64" s="15">
        <v>-1</v>
      </c>
      <c r="K64" s="15">
        <v>-1</v>
      </c>
      <c r="L64" s="15">
        <v>-1</v>
      </c>
      <c r="M64" s="15">
        <v>-1</v>
      </c>
      <c r="N64" s="15">
        <v>-1</v>
      </c>
      <c r="O64" s="2">
        <f t="shared" si="9"/>
        <v>-14</v>
      </c>
      <c r="P64" s="122"/>
      <c r="Q64" s="123"/>
      <c r="R64" s="123"/>
      <c r="S64" s="123"/>
      <c r="T64" s="123"/>
      <c r="U64" s="124"/>
      <c r="V64" s="9"/>
      <c r="W64" s="9"/>
      <c r="X64" s="6">
        <f t="shared" si="2"/>
        <v>-1</v>
      </c>
      <c r="Y64" s="6">
        <f t="shared" si="3"/>
        <v>-1</v>
      </c>
      <c r="Z64" s="6">
        <f t="shared" si="4"/>
        <v>-1</v>
      </c>
      <c r="AA64" s="6">
        <f t="shared" si="5"/>
        <v>-1</v>
      </c>
      <c r="AB64" s="6">
        <f t="shared" si="6"/>
        <v>-1</v>
      </c>
      <c r="AC64" s="6">
        <f t="shared" si="7"/>
        <v>-1</v>
      </c>
      <c r="AD64" s="6">
        <f t="shared" si="1"/>
        <v>-14</v>
      </c>
      <c r="AE64" s="106"/>
      <c r="AF64" s="106"/>
    </row>
    <row r="65" spans="1:32" x14ac:dyDescent="0.3">
      <c r="A65" s="126"/>
      <c r="B65" s="11" t="s">
        <v>93</v>
      </c>
      <c r="C65" s="36"/>
      <c r="D65" s="36"/>
      <c r="E65" s="39"/>
      <c r="F65" s="17"/>
      <c r="G65" s="6"/>
      <c r="H65" s="6"/>
      <c r="I65" s="15">
        <v>-1</v>
      </c>
      <c r="J65" s="15">
        <v>-1</v>
      </c>
      <c r="K65" s="15">
        <v>-1</v>
      </c>
      <c r="L65" s="15">
        <v>-1</v>
      </c>
      <c r="M65" s="15">
        <v>-1</v>
      </c>
      <c r="N65" s="15">
        <v>-1</v>
      </c>
      <c r="O65" s="2">
        <f t="shared" si="9"/>
        <v>-14</v>
      </c>
      <c r="P65" s="122"/>
      <c r="Q65" s="123"/>
      <c r="R65" s="123"/>
      <c r="S65" s="123"/>
      <c r="T65" s="123"/>
      <c r="U65" s="124"/>
      <c r="V65" s="9"/>
      <c r="W65" s="9"/>
      <c r="X65" s="6">
        <f t="shared" si="2"/>
        <v>-1</v>
      </c>
      <c r="Y65" s="6">
        <f t="shared" si="3"/>
        <v>-1</v>
      </c>
      <c r="Z65" s="6">
        <f t="shared" si="4"/>
        <v>-1</v>
      </c>
      <c r="AA65" s="6">
        <f t="shared" si="5"/>
        <v>-1</v>
      </c>
      <c r="AB65" s="6">
        <f t="shared" si="6"/>
        <v>-1</v>
      </c>
      <c r="AC65" s="6">
        <f t="shared" si="7"/>
        <v>-1</v>
      </c>
      <c r="AD65" s="6">
        <f t="shared" si="1"/>
        <v>-14</v>
      </c>
      <c r="AE65" s="106"/>
      <c r="AF65" s="106"/>
    </row>
    <row r="66" spans="1:32" x14ac:dyDescent="0.3">
      <c r="A66" s="126"/>
      <c r="B66" s="11" t="s">
        <v>93</v>
      </c>
      <c r="C66" s="36"/>
      <c r="D66" s="36"/>
      <c r="E66" s="39"/>
      <c r="F66" s="17"/>
      <c r="G66" s="6"/>
      <c r="H66" s="6"/>
      <c r="I66" s="15">
        <v>-1</v>
      </c>
      <c r="J66" s="15">
        <v>-1</v>
      </c>
      <c r="K66" s="15">
        <v>-1</v>
      </c>
      <c r="L66" s="15">
        <v>-1</v>
      </c>
      <c r="M66" s="15">
        <v>-1</v>
      </c>
      <c r="N66" s="15">
        <v>-1</v>
      </c>
      <c r="O66" s="2">
        <f t="shared" si="9"/>
        <v>-14</v>
      </c>
      <c r="P66" s="122"/>
      <c r="Q66" s="123"/>
      <c r="R66" s="123"/>
      <c r="S66" s="123"/>
      <c r="T66" s="123"/>
      <c r="U66" s="124"/>
      <c r="V66" s="9"/>
      <c r="W66" s="9"/>
      <c r="X66" s="6">
        <f t="shared" si="2"/>
        <v>-1</v>
      </c>
      <c r="Y66" s="6">
        <f t="shared" si="3"/>
        <v>-1</v>
      </c>
      <c r="Z66" s="6">
        <f t="shared" si="4"/>
        <v>-1</v>
      </c>
      <c r="AA66" s="6">
        <f t="shared" si="5"/>
        <v>-1</v>
      </c>
      <c r="AB66" s="6">
        <f t="shared" si="6"/>
        <v>-1</v>
      </c>
      <c r="AC66" s="6">
        <f t="shared" si="7"/>
        <v>-1</v>
      </c>
      <c r="AD66" s="6">
        <f t="shared" si="1"/>
        <v>-14</v>
      </c>
      <c r="AE66" s="106"/>
      <c r="AF66" s="106"/>
    </row>
    <row r="67" spans="1:32" x14ac:dyDescent="0.3">
      <c r="A67" s="126"/>
      <c r="B67" s="11" t="s">
        <v>94</v>
      </c>
      <c r="C67" s="36"/>
      <c r="D67" s="36"/>
      <c r="E67" s="39"/>
      <c r="F67" s="17"/>
      <c r="G67" s="6"/>
      <c r="H67" s="6"/>
      <c r="I67" s="15">
        <v>-1</v>
      </c>
      <c r="J67" s="15">
        <v>-1</v>
      </c>
      <c r="K67" s="15">
        <v>-1</v>
      </c>
      <c r="L67" s="15">
        <v>-1</v>
      </c>
      <c r="M67" s="15">
        <v>-1</v>
      </c>
      <c r="N67" s="15">
        <v>-1</v>
      </c>
      <c r="O67" s="2">
        <f t="shared" ref="O67:O130" si="10">I67*I$2+J67*J$2+K67*K$2+L67*L$2+M67*M$2+N67*N$2</f>
        <v>-14</v>
      </c>
      <c r="P67" s="122"/>
      <c r="Q67" s="123"/>
      <c r="R67" s="123"/>
      <c r="S67" s="123"/>
      <c r="T67" s="123"/>
      <c r="U67" s="124"/>
      <c r="V67" s="9"/>
      <c r="W67" s="9"/>
      <c r="X67" s="6">
        <f t="shared" si="2"/>
        <v>-1</v>
      </c>
      <c r="Y67" s="6">
        <f t="shared" si="3"/>
        <v>-1</v>
      </c>
      <c r="Z67" s="6">
        <f t="shared" si="4"/>
        <v>-1</v>
      </c>
      <c r="AA67" s="6">
        <f t="shared" si="5"/>
        <v>-1</v>
      </c>
      <c r="AB67" s="6">
        <f t="shared" si="6"/>
        <v>-1</v>
      </c>
      <c r="AC67" s="6">
        <f t="shared" si="7"/>
        <v>-1</v>
      </c>
      <c r="AD67" s="6">
        <f t="shared" si="1"/>
        <v>-14</v>
      </c>
      <c r="AE67" s="106"/>
      <c r="AF67" s="106"/>
    </row>
    <row r="68" spans="1:32" x14ac:dyDescent="0.3">
      <c r="A68" s="126"/>
      <c r="B68" s="11" t="s">
        <v>95</v>
      </c>
      <c r="C68" s="36"/>
      <c r="D68" s="36"/>
      <c r="E68" s="39"/>
      <c r="F68" s="17"/>
      <c r="G68" s="6"/>
      <c r="H68" s="6"/>
      <c r="I68" s="15">
        <v>-1</v>
      </c>
      <c r="J68" s="15">
        <v>-1</v>
      </c>
      <c r="K68" s="15">
        <v>-1</v>
      </c>
      <c r="L68" s="15">
        <v>-1</v>
      </c>
      <c r="M68" s="15">
        <v>-1</v>
      </c>
      <c r="N68" s="15">
        <v>-1</v>
      </c>
      <c r="O68" s="2">
        <f t="shared" si="10"/>
        <v>-14</v>
      </c>
      <c r="P68" s="122"/>
      <c r="Q68" s="123"/>
      <c r="R68" s="123"/>
      <c r="S68" s="123"/>
      <c r="T68" s="123"/>
      <c r="U68" s="124"/>
      <c r="V68" s="9"/>
      <c r="W68" s="9"/>
      <c r="X68" s="6">
        <f t="shared" si="2"/>
        <v>-1</v>
      </c>
      <c r="Y68" s="6">
        <f t="shared" si="3"/>
        <v>-1</v>
      </c>
      <c r="Z68" s="6">
        <f t="shared" si="4"/>
        <v>-1</v>
      </c>
      <c r="AA68" s="6">
        <f t="shared" si="5"/>
        <v>-1</v>
      </c>
      <c r="AB68" s="6">
        <f t="shared" si="6"/>
        <v>-1</v>
      </c>
      <c r="AC68" s="6">
        <f t="shared" si="7"/>
        <v>-1</v>
      </c>
      <c r="AD68" s="6">
        <f t="shared" si="1"/>
        <v>-14</v>
      </c>
      <c r="AE68" s="106"/>
      <c r="AF68" s="106"/>
    </row>
    <row r="69" spans="1:32" x14ac:dyDescent="0.3">
      <c r="A69" s="126"/>
      <c r="B69" s="11" t="s">
        <v>96</v>
      </c>
      <c r="C69" s="36"/>
      <c r="D69" s="36"/>
      <c r="E69" s="39"/>
      <c r="F69" s="17"/>
      <c r="G69" s="6"/>
      <c r="H69" s="6"/>
      <c r="I69" s="15">
        <v>-1</v>
      </c>
      <c r="J69" s="15">
        <v>-1</v>
      </c>
      <c r="K69" s="15">
        <v>-1</v>
      </c>
      <c r="L69" s="15">
        <v>-1</v>
      </c>
      <c r="M69" s="15">
        <v>-1</v>
      </c>
      <c r="N69" s="15">
        <v>-1</v>
      </c>
      <c r="O69" s="2">
        <f t="shared" si="10"/>
        <v>-14</v>
      </c>
      <c r="P69" s="122"/>
      <c r="Q69" s="123"/>
      <c r="R69" s="123"/>
      <c r="S69" s="123"/>
      <c r="T69" s="123"/>
      <c r="U69" s="124"/>
      <c r="V69" s="9"/>
      <c r="W69" s="9"/>
      <c r="X69" s="6">
        <f t="shared" si="2"/>
        <v>-1</v>
      </c>
      <c r="Y69" s="6">
        <f t="shared" si="3"/>
        <v>-1</v>
      </c>
      <c r="Z69" s="6">
        <f t="shared" si="4"/>
        <v>-1</v>
      </c>
      <c r="AA69" s="6">
        <f t="shared" si="5"/>
        <v>-1</v>
      </c>
      <c r="AB69" s="6">
        <f t="shared" si="6"/>
        <v>-1</v>
      </c>
      <c r="AC69" s="6">
        <f t="shared" si="7"/>
        <v>-1</v>
      </c>
      <c r="AD69" s="6">
        <f t="shared" si="1"/>
        <v>-14</v>
      </c>
      <c r="AE69" s="106"/>
      <c r="AF69" s="106"/>
    </row>
    <row r="70" spans="1:32" x14ac:dyDescent="0.3">
      <c r="A70" s="126"/>
      <c r="B70" s="11" t="s">
        <v>97</v>
      </c>
      <c r="C70" s="36"/>
      <c r="D70" s="36"/>
      <c r="E70" s="39"/>
      <c r="F70" s="17"/>
      <c r="G70" s="6"/>
      <c r="H70" s="6"/>
      <c r="I70" s="15">
        <v>-1</v>
      </c>
      <c r="J70" s="15">
        <v>-1</v>
      </c>
      <c r="K70" s="15">
        <v>-1</v>
      </c>
      <c r="L70" s="15">
        <v>-1</v>
      </c>
      <c r="M70" s="15">
        <v>-1</v>
      </c>
      <c r="N70" s="15">
        <v>-1</v>
      </c>
      <c r="O70" s="2">
        <f t="shared" si="10"/>
        <v>-14</v>
      </c>
      <c r="P70" s="122"/>
      <c r="Q70" s="123"/>
      <c r="R70" s="123"/>
      <c r="S70" s="123"/>
      <c r="T70" s="123"/>
      <c r="U70" s="124"/>
      <c r="V70" s="9"/>
      <c r="W70" s="9"/>
      <c r="X70" s="6">
        <f t="shared" si="2"/>
        <v>-1</v>
      </c>
      <c r="Y70" s="6">
        <f t="shared" si="3"/>
        <v>-1</v>
      </c>
      <c r="Z70" s="6">
        <f t="shared" si="4"/>
        <v>-1</v>
      </c>
      <c r="AA70" s="6">
        <f t="shared" si="5"/>
        <v>-1</v>
      </c>
      <c r="AB70" s="6">
        <f t="shared" si="6"/>
        <v>-1</v>
      </c>
      <c r="AC70" s="6">
        <f t="shared" si="7"/>
        <v>-1</v>
      </c>
      <c r="AD70" s="6">
        <f t="shared" si="1"/>
        <v>-14</v>
      </c>
      <c r="AE70" s="106"/>
      <c r="AF70" s="106"/>
    </row>
    <row r="71" spans="1:32" x14ac:dyDescent="0.3">
      <c r="A71" s="126"/>
      <c r="B71" s="11" t="s">
        <v>98</v>
      </c>
      <c r="C71" s="36"/>
      <c r="D71" s="36"/>
      <c r="E71" s="39"/>
      <c r="F71" s="17"/>
      <c r="G71" s="6"/>
      <c r="H71" s="6"/>
      <c r="I71" s="15">
        <v>-1</v>
      </c>
      <c r="J71" s="15">
        <v>-1</v>
      </c>
      <c r="K71" s="15">
        <v>-1</v>
      </c>
      <c r="L71" s="15">
        <v>-1</v>
      </c>
      <c r="M71" s="15">
        <v>-1</v>
      </c>
      <c r="N71" s="15">
        <v>-1</v>
      </c>
      <c r="O71" s="2">
        <f t="shared" si="10"/>
        <v>-14</v>
      </c>
      <c r="P71" s="122"/>
      <c r="Q71" s="123"/>
      <c r="R71" s="123"/>
      <c r="S71" s="123"/>
      <c r="T71" s="123"/>
      <c r="U71" s="124"/>
      <c r="V71" s="9"/>
      <c r="W71" s="9"/>
      <c r="X71" s="6">
        <f t="shared" si="2"/>
        <v>-1</v>
      </c>
      <c r="Y71" s="6">
        <f t="shared" si="3"/>
        <v>-1</v>
      </c>
      <c r="Z71" s="6">
        <f t="shared" si="4"/>
        <v>-1</v>
      </c>
      <c r="AA71" s="6">
        <f t="shared" si="5"/>
        <v>-1</v>
      </c>
      <c r="AB71" s="6">
        <f t="shared" si="6"/>
        <v>-1</v>
      </c>
      <c r="AC71" s="6">
        <f t="shared" si="7"/>
        <v>-1</v>
      </c>
      <c r="AD71" s="6">
        <f t="shared" si="1"/>
        <v>-14</v>
      </c>
      <c r="AE71" s="106"/>
      <c r="AF71" s="106"/>
    </row>
    <row r="72" spans="1:32" x14ac:dyDescent="0.3">
      <c r="A72" s="126"/>
      <c r="B72" s="11" t="s">
        <v>99</v>
      </c>
      <c r="C72" s="36"/>
      <c r="D72" s="36"/>
      <c r="E72" s="39"/>
      <c r="F72" s="17"/>
      <c r="G72" s="6"/>
      <c r="H72" s="6"/>
      <c r="I72" s="15">
        <v>-1</v>
      </c>
      <c r="J72" s="15">
        <v>-1</v>
      </c>
      <c r="K72" s="15">
        <v>-1</v>
      </c>
      <c r="L72" s="15">
        <v>-1</v>
      </c>
      <c r="M72" s="15">
        <v>-1</v>
      </c>
      <c r="N72" s="15">
        <v>-1</v>
      </c>
      <c r="O72" s="2">
        <f t="shared" si="10"/>
        <v>-14</v>
      </c>
      <c r="P72" s="122"/>
      <c r="Q72" s="123"/>
      <c r="R72" s="123"/>
      <c r="S72" s="123"/>
      <c r="T72" s="123"/>
      <c r="U72" s="124"/>
      <c r="V72" s="9"/>
      <c r="W72" s="9"/>
      <c r="X72" s="6">
        <f t="shared" si="2"/>
        <v>-1</v>
      </c>
      <c r="Y72" s="6">
        <f t="shared" si="3"/>
        <v>-1</v>
      </c>
      <c r="Z72" s="6">
        <f t="shared" si="4"/>
        <v>-1</v>
      </c>
      <c r="AA72" s="6">
        <f t="shared" si="5"/>
        <v>-1</v>
      </c>
      <c r="AB72" s="6">
        <f t="shared" si="6"/>
        <v>-1</v>
      </c>
      <c r="AC72" s="6">
        <f t="shared" si="7"/>
        <v>-1</v>
      </c>
      <c r="AD72" s="6">
        <f t="shared" ref="AD72:AD130" si="11">X72*I$2+Y72*J$2+Z72*K$2+AA72*L$2+AB72*M$2+AC72*N$2</f>
        <v>-14</v>
      </c>
      <c r="AE72" s="106"/>
      <c r="AF72" s="106"/>
    </row>
    <row r="73" spans="1:32" x14ac:dyDescent="0.3">
      <c r="A73" s="126"/>
      <c r="B73" s="11" t="s">
        <v>100</v>
      </c>
      <c r="C73" s="36"/>
      <c r="D73" s="36"/>
      <c r="E73" s="39"/>
      <c r="F73" s="17"/>
      <c r="G73" s="6"/>
      <c r="H73" s="6"/>
      <c r="I73" s="15">
        <v>-1</v>
      </c>
      <c r="J73" s="15">
        <v>-1</v>
      </c>
      <c r="K73" s="15">
        <v>-1</v>
      </c>
      <c r="L73" s="15">
        <v>-1</v>
      </c>
      <c r="M73" s="15">
        <v>-1</v>
      </c>
      <c r="N73" s="15">
        <v>-1</v>
      </c>
      <c r="O73" s="2">
        <f t="shared" si="10"/>
        <v>-14</v>
      </c>
      <c r="P73" s="122"/>
      <c r="Q73" s="123"/>
      <c r="R73" s="123"/>
      <c r="S73" s="123"/>
      <c r="T73" s="123"/>
      <c r="U73" s="124"/>
      <c r="V73" s="9"/>
      <c r="W73" s="9"/>
      <c r="X73" s="6">
        <f t="shared" ref="X73:X130" si="12">I73</f>
        <v>-1</v>
      </c>
      <c r="Y73" s="6">
        <f t="shared" ref="Y73:Y130" si="13">J73</f>
        <v>-1</v>
      </c>
      <c r="Z73" s="6">
        <f t="shared" ref="Z73:Z130" si="14">K73</f>
        <v>-1</v>
      </c>
      <c r="AA73" s="6">
        <f t="shared" ref="AA73:AA130" si="15">L73</f>
        <v>-1</v>
      </c>
      <c r="AB73" s="6">
        <f t="shared" ref="AB73:AB130" si="16">M73</f>
        <v>-1</v>
      </c>
      <c r="AC73" s="6">
        <f t="shared" ref="AC73:AC130" si="17">N73</f>
        <v>-1</v>
      </c>
      <c r="AD73" s="6">
        <f t="shared" si="11"/>
        <v>-14</v>
      </c>
      <c r="AE73" s="106"/>
      <c r="AF73" s="106"/>
    </row>
    <row r="74" spans="1:32" x14ac:dyDescent="0.3">
      <c r="A74" s="126"/>
      <c r="B74" s="11" t="s">
        <v>101</v>
      </c>
      <c r="C74" s="36"/>
      <c r="D74" s="36"/>
      <c r="E74" s="39"/>
      <c r="F74" s="17"/>
      <c r="G74" s="6"/>
      <c r="H74" s="6"/>
      <c r="I74" s="15">
        <v>-1</v>
      </c>
      <c r="J74" s="15">
        <v>-1</v>
      </c>
      <c r="K74" s="15">
        <v>-1</v>
      </c>
      <c r="L74" s="15">
        <v>-1</v>
      </c>
      <c r="M74" s="15">
        <v>-1</v>
      </c>
      <c r="N74" s="15">
        <v>-1</v>
      </c>
      <c r="O74" s="2">
        <f t="shared" si="10"/>
        <v>-14</v>
      </c>
      <c r="P74" s="122"/>
      <c r="Q74" s="123"/>
      <c r="R74" s="123"/>
      <c r="S74" s="123"/>
      <c r="T74" s="123"/>
      <c r="U74" s="124"/>
      <c r="V74" s="9"/>
      <c r="W74" s="9"/>
      <c r="X74" s="6">
        <f t="shared" si="12"/>
        <v>-1</v>
      </c>
      <c r="Y74" s="6">
        <f t="shared" si="13"/>
        <v>-1</v>
      </c>
      <c r="Z74" s="6">
        <f t="shared" si="14"/>
        <v>-1</v>
      </c>
      <c r="AA74" s="6">
        <f t="shared" si="15"/>
        <v>-1</v>
      </c>
      <c r="AB74" s="6">
        <f t="shared" si="16"/>
        <v>-1</v>
      </c>
      <c r="AC74" s="6">
        <f t="shared" si="17"/>
        <v>-1</v>
      </c>
      <c r="AD74" s="6">
        <f t="shared" si="11"/>
        <v>-14</v>
      </c>
      <c r="AE74" s="106"/>
      <c r="AF74" s="106"/>
    </row>
    <row r="75" spans="1:32" x14ac:dyDescent="0.3">
      <c r="A75" s="126"/>
      <c r="B75" s="11" t="s">
        <v>102</v>
      </c>
      <c r="C75" s="36"/>
      <c r="D75" s="36"/>
      <c r="E75" s="39"/>
      <c r="F75" s="17"/>
      <c r="G75" s="6"/>
      <c r="H75" s="6"/>
      <c r="I75" s="15">
        <v>-1</v>
      </c>
      <c r="J75" s="15">
        <v>-1</v>
      </c>
      <c r="K75" s="15">
        <v>-1</v>
      </c>
      <c r="L75" s="15">
        <v>-1</v>
      </c>
      <c r="M75" s="15">
        <v>-1</v>
      </c>
      <c r="N75" s="15">
        <v>-1</v>
      </c>
      <c r="O75" s="2">
        <f t="shared" si="10"/>
        <v>-14</v>
      </c>
      <c r="P75" s="122"/>
      <c r="Q75" s="123"/>
      <c r="R75" s="123"/>
      <c r="S75" s="123"/>
      <c r="T75" s="123"/>
      <c r="U75" s="124"/>
      <c r="V75" s="9"/>
      <c r="W75" s="9"/>
      <c r="X75" s="6">
        <f t="shared" si="12"/>
        <v>-1</v>
      </c>
      <c r="Y75" s="6">
        <f t="shared" si="13"/>
        <v>-1</v>
      </c>
      <c r="Z75" s="6">
        <f t="shared" si="14"/>
        <v>-1</v>
      </c>
      <c r="AA75" s="6">
        <f t="shared" si="15"/>
        <v>-1</v>
      </c>
      <c r="AB75" s="6">
        <f t="shared" si="16"/>
        <v>-1</v>
      </c>
      <c r="AC75" s="6">
        <f t="shared" si="17"/>
        <v>-1</v>
      </c>
      <c r="AD75" s="6">
        <f t="shared" si="11"/>
        <v>-14</v>
      </c>
      <c r="AE75" s="106"/>
      <c r="AF75" s="106"/>
    </row>
    <row r="76" spans="1:32" x14ac:dyDescent="0.3">
      <c r="A76" s="126"/>
      <c r="B76" s="12" t="s">
        <v>103</v>
      </c>
      <c r="C76" s="36"/>
      <c r="D76" s="36"/>
      <c r="E76" s="39"/>
      <c r="F76" s="17"/>
      <c r="G76" s="6"/>
      <c r="H76" s="6"/>
      <c r="I76" s="15">
        <v>-1</v>
      </c>
      <c r="J76" s="15">
        <v>-1</v>
      </c>
      <c r="K76" s="15">
        <v>-1</v>
      </c>
      <c r="L76" s="15">
        <v>-1</v>
      </c>
      <c r="M76" s="15">
        <v>-1</v>
      </c>
      <c r="N76" s="15">
        <v>-1</v>
      </c>
      <c r="O76" s="2">
        <f t="shared" si="10"/>
        <v>-14</v>
      </c>
      <c r="P76" s="122"/>
      <c r="Q76" s="123"/>
      <c r="R76" s="123"/>
      <c r="S76" s="123"/>
      <c r="T76" s="123"/>
      <c r="U76" s="124"/>
      <c r="V76" s="9"/>
      <c r="W76" s="9"/>
      <c r="X76" s="6">
        <f t="shared" si="12"/>
        <v>-1</v>
      </c>
      <c r="Y76" s="6">
        <f t="shared" si="13"/>
        <v>-1</v>
      </c>
      <c r="Z76" s="6">
        <f t="shared" si="14"/>
        <v>-1</v>
      </c>
      <c r="AA76" s="6">
        <f t="shared" si="15"/>
        <v>-1</v>
      </c>
      <c r="AB76" s="6">
        <f t="shared" si="16"/>
        <v>-1</v>
      </c>
      <c r="AC76" s="6">
        <f t="shared" si="17"/>
        <v>-1</v>
      </c>
      <c r="AD76" s="6">
        <f t="shared" si="11"/>
        <v>-14</v>
      </c>
      <c r="AE76" s="106"/>
      <c r="AF76" s="106"/>
    </row>
    <row r="77" spans="1:32" x14ac:dyDescent="0.3">
      <c r="A77" s="126"/>
      <c r="B77" s="12" t="s">
        <v>104</v>
      </c>
      <c r="C77" s="36"/>
      <c r="D77" s="36"/>
      <c r="E77" s="39"/>
      <c r="F77" s="17"/>
      <c r="G77" s="6"/>
      <c r="H77" s="6"/>
      <c r="I77" s="15">
        <v>-1</v>
      </c>
      <c r="J77" s="15">
        <v>-1</v>
      </c>
      <c r="K77" s="15">
        <v>-1</v>
      </c>
      <c r="L77" s="15">
        <v>-1</v>
      </c>
      <c r="M77" s="15">
        <v>-1</v>
      </c>
      <c r="N77" s="15">
        <v>-1</v>
      </c>
      <c r="O77" s="2">
        <f t="shared" si="10"/>
        <v>-14</v>
      </c>
      <c r="P77" s="122"/>
      <c r="Q77" s="123"/>
      <c r="R77" s="123"/>
      <c r="S77" s="123"/>
      <c r="T77" s="123"/>
      <c r="U77" s="124"/>
      <c r="V77" s="9"/>
      <c r="W77" s="9"/>
      <c r="X77" s="6">
        <f t="shared" si="12"/>
        <v>-1</v>
      </c>
      <c r="Y77" s="6">
        <f t="shared" si="13"/>
        <v>-1</v>
      </c>
      <c r="Z77" s="6">
        <f t="shared" si="14"/>
        <v>-1</v>
      </c>
      <c r="AA77" s="6">
        <f t="shared" si="15"/>
        <v>-1</v>
      </c>
      <c r="AB77" s="6">
        <f t="shared" si="16"/>
        <v>-1</v>
      </c>
      <c r="AC77" s="6">
        <f t="shared" si="17"/>
        <v>-1</v>
      </c>
      <c r="AD77" s="6">
        <f t="shared" si="11"/>
        <v>-14</v>
      </c>
      <c r="AE77" s="106"/>
      <c r="AF77" s="106"/>
    </row>
    <row r="78" spans="1:32" x14ac:dyDescent="0.3">
      <c r="A78" s="126"/>
      <c r="B78" s="12" t="s">
        <v>105</v>
      </c>
      <c r="C78" s="36"/>
      <c r="D78" s="36"/>
      <c r="E78" s="39"/>
      <c r="F78" s="17"/>
      <c r="G78" s="6"/>
      <c r="H78" s="6"/>
      <c r="I78" s="15">
        <v>-1</v>
      </c>
      <c r="J78" s="15">
        <v>-1</v>
      </c>
      <c r="K78" s="15">
        <v>-1</v>
      </c>
      <c r="L78" s="15">
        <v>-1</v>
      </c>
      <c r="M78" s="15">
        <v>-1</v>
      </c>
      <c r="N78" s="15">
        <v>-1</v>
      </c>
      <c r="O78" s="2">
        <f t="shared" si="10"/>
        <v>-14</v>
      </c>
      <c r="P78" s="122"/>
      <c r="Q78" s="123"/>
      <c r="R78" s="123"/>
      <c r="S78" s="123"/>
      <c r="T78" s="123"/>
      <c r="U78" s="124"/>
      <c r="V78" s="9"/>
      <c r="W78" s="9"/>
      <c r="X78" s="6">
        <f t="shared" si="12"/>
        <v>-1</v>
      </c>
      <c r="Y78" s="6">
        <f t="shared" si="13"/>
        <v>-1</v>
      </c>
      <c r="Z78" s="6">
        <f t="shared" si="14"/>
        <v>-1</v>
      </c>
      <c r="AA78" s="6">
        <f t="shared" si="15"/>
        <v>-1</v>
      </c>
      <c r="AB78" s="6">
        <f t="shared" si="16"/>
        <v>-1</v>
      </c>
      <c r="AC78" s="6">
        <f t="shared" si="17"/>
        <v>-1</v>
      </c>
      <c r="AD78" s="6">
        <f t="shared" si="11"/>
        <v>-14</v>
      </c>
      <c r="AE78" s="106"/>
      <c r="AF78" s="106"/>
    </row>
    <row r="79" spans="1:32" x14ac:dyDescent="0.3">
      <c r="A79" s="126"/>
      <c r="B79" s="13" t="s">
        <v>106</v>
      </c>
      <c r="C79" s="36"/>
      <c r="D79" s="36"/>
      <c r="E79" s="39"/>
      <c r="F79" s="17"/>
      <c r="G79" s="6"/>
      <c r="H79" s="6"/>
      <c r="I79" s="15">
        <v>-1</v>
      </c>
      <c r="J79" s="15">
        <v>-1</v>
      </c>
      <c r="K79" s="15">
        <v>-1</v>
      </c>
      <c r="L79" s="15">
        <v>-1</v>
      </c>
      <c r="M79" s="15">
        <v>-1</v>
      </c>
      <c r="N79" s="15">
        <v>-1</v>
      </c>
      <c r="O79" s="2">
        <f t="shared" si="10"/>
        <v>-14</v>
      </c>
      <c r="P79" s="122"/>
      <c r="Q79" s="123"/>
      <c r="R79" s="123"/>
      <c r="S79" s="123"/>
      <c r="T79" s="123"/>
      <c r="U79" s="124"/>
      <c r="V79" s="9"/>
      <c r="W79" s="9"/>
      <c r="X79" s="6">
        <f t="shared" si="12"/>
        <v>-1</v>
      </c>
      <c r="Y79" s="6">
        <f t="shared" si="13"/>
        <v>-1</v>
      </c>
      <c r="Z79" s="6">
        <f t="shared" si="14"/>
        <v>-1</v>
      </c>
      <c r="AA79" s="6">
        <f t="shared" si="15"/>
        <v>-1</v>
      </c>
      <c r="AB79" s="6">
        <f t="shared" si="16"/>
        <v>-1</v>
      </c>
      <c r="AC79" s="6">
        <f t="shared" si="17"/>
        <v>-1</v>
      </c>
      <c r="AD79" s="6">
        <f t="shared" si="11"/>
        <v>-14</v>
      </c>
      <c r="AE79" s="106"/>
      <c r="AF79" s="106"/>
    </row>
    <row r="80" spans="1:32" x14ac:dyDescent="0.3">
      <c r="A80" s="126"/>
      <c r="B80" s="12" t="s">
        <v>107</v>
      </c>
      <c r="C80" s="36"/>
      <c r="D80" s="36"/>
      <c r="E80" s="39"/>
      <c r="F80" s="17"/>
      <c r="G80" s="6"/>
      <c r="H80" s="6"/>
      <c r="I80" s="15">
        <v>-1</v>
      </c>
      <c r="J80" s="15">
        <v>-1</v>
      </c>
      <c r="K80" s="15">
        <v>-1</v>
      </c>
      <c r="L80" s="15">
        <v>-1</v>
      </c>
      <c r="M80" s="15">
        <v>-1</v>
      </c>
      <c r="N80" s="15">
        <v>-1</v>
      </c>
      <c r="O80" s="2">
        <f t="shared" si="10"/>
        <v>-14</v>
      </c>
      <c r="P80" s="122"/>
      <c r="Q80" s="123"/>
      <c r="R80" s="123"/>
      <c r="S80" s="123"/>
      <c r="T80" s="123"/>
      <c r="U80" s="124"/>
      <c r="V80" s="9"/>
      <c r="W80" s="9"/>
      <c r="X80" s="6">
        <f t="shared" si="12"/>
        <v>-1</v>
      </c>
      <c r="Y80" s="6">
        <f t="shared" si="13"/>
        <v>-1</v>
      </c>
      <c r="Z80" s="6">
        <f t="shared" si="14"/>
        <v>-1</v>
      </c>
      <c r="AA80" s="6">
        <f t="shared" si="15"/>
        <v>-1</v>
      </c>
      <c r="AB80" s="6">
        <f t="shared" si="16"/>
        <v>-1</v>
      </c>
      <c r="AC80" s="6">
        <f t="shared" si="17"/>
        <v>-1</v>
      </c>
      <c r="AD80" s="6">
        <f t="shared" si="11"/>
        <v>-14</v>
      </c>
      <c r="AE80" s="106"/>
      <c r="AF80" s="106"/>
    </row>
    <row r="81" spans="1:32" x14ac:dyDescent="0.3">
      <c r="A81" s="126"/>
      <c r="B81" s="12" t="s">
        <v>108</v>
      </c>
      <c r="C81" s="36"/>
      <c r="D81" s="36"/>
      <c r="E81" s="39"/>
      <c r="F81" s="17"/>
      <c r="G81" s="6"/>
      <c r="H81" s="6"/>
      <c r="I81" s="15">
        <v>-1</v>
      </c>
      <c r="J81" s="15">
        <v>-1</v>
      </c>
      <c r="K81" s="15">
        <v>-1</v>
      </c>
      <c r="L81" s="15">
        <v>-1</v>
      </c>
      <c r="M81" s="15">
        <v>-1</v>
      </c>
      <c r="N81" s="15">
        <v>-1</v>
      </c>
      <c r="O81" s="2">
        <f t="shared" si="10"/>
        <v>-14</v>
      </c>
      <c r="P81" s="122"/>
      <c r="Q81" s="123"/>
      <c r="R81" s="123"/>
      <c r="S81" s="123"/>
      <c r="T81" s="123"/>
      <c r="U81" s="124"/>
      <c r="V81" s="9"/>
      <c r="W81" s="9"/>
      <c r="X81" s="6">
        <f t="shared" si="12"/>
        <v>-1</v>
      </c>
      <c r="Y81" s="6">
        <f t="shared" si="13"/>
        <v>-1</v>
      </c>
      <c r="Z81" s="6">
        <f t="shared" si="14"/>
        <v>-1</v>
      </c>
      <c r="AA81" s="6">
        <f t="shared" si="15"/>
        <v>-1</v>
      </c>
      <c r="AB81" s="6">
        <f t="shared" si="16"/>
        <v>-1</v>
      </c>
      <c r="AC81" s="6">
        <f t="shared" si="17"/>
        <v>-1</v>
      </c>
      <c r="AD81" s="6">
        <f t="shared" si="11"/>
        <v>-14</v>
      </c>
      <c r="AE81" s="106"/>
      <c r="AF81" s="106"/>
    </row>
    <row r="82" spans="1:32" x14ac:dyDescent="0.3">
      <c r="A82" s="126"/>
      <c r="B82" s="12" t="s">
        <v>109</v>
      </c>
      <c r="C82" s="36"/>
      <c r="D82" s="36"/>
      <c r="E82" s="39"/>
      <c r="F82" s="17"/>
      <c r="G82" s="6"/>
      <c r="H82" s="6"/>
      <c r="I82" s="15">
        <v>-1</v>
      </c>
      <c r="J82" s="15">
        <v>-1</v>
      </c>
      <c r="K82" s="15">
        <v>-1</v>
      </c>
      <c r="L82" s="15">
        <v>-1</v>
      </c>
      <c r="M82" s="15">
        <v>-1</v>
      </c>
      <c r="N82" s="15">
        <v>-1</v>
      </c>
      <c r="O82" s="2">
        <f t="shared" si="10"/>
        <v>-14</v>
      </c>
      <c r="P82" s="122"/>
      <c r="Q82" s="123"/>
      <c r="R82" s="123"/>
      <c r="S82" s="123"/>
      <c r="T82" s="123"/>
      <c r="U82" s="124"/>
      <c r="V82" s="9"/>
      <c r="W82" s="9"/>
      <c r="X82" s="6">
        <f t="shared" si="12"/>
        <v>-1</v>
      </c>
      <c r="Y82" s="6">
        <f t="shared" si="13"/>
        <v>-1</v>
      </c>
      <c r="Z82" s="6">
        <f t="shared" si="14"/>
        <v>-1</v>
      </c>
      <c r="AA82" s="6">
        <f t="shared" si="15"/>
        <v>-1</v>
      </c>
      <c r="AB82" s="6">
        <f t="shared" si="16"/>
        <v>-1</v>
      </c>
      <c r="AC82" s="6">
        <f t="shared" si="17"/>
        <v>-1</v>
      </c>
      <c r="AD82" s="6">
        <f t="shared" si="11"/>
        <v>-14</v>
      </c>
      <c r="AE82" s="106"/>
      <c r="AF82" s="106"/>
    </row>
    <row r="83" spans="1:32" x14ac:dyDescent="0.3">
      <c r="A83" s="126"/>
      <c r="B83" s="12" t="s">
        <v>110</v>
      </c>
      <c r="C83" s="36"/>
      <c r="D83" s="36"/>
      <c r="E83" s="39"/>
      <c r="F83" s="17"/>
      <c r="G83" s="6"/>
      <c r="H83" s="6"/>
      <c r="I83" s="15">
        <v>-1</v>
      </c>
      <c r="J83" s="15">
        <v>-1</v>
      </c>
      <c r="K83" s="15">
        <v>-1</v>
      </c>
      <c r="L83" s="15">
        <v>-1</v>
      </c>
      <c r="M83" s="15">
        <v>-1</v>
      </c>
      <c r="N83" s="15">
        <v>-1</v>
      </c>
      <c r="O83" s="2">
        <f t="shared" si="10"/>
        <v>-14</v>
      </c>
      <c r="P83" s="122"/>
      <c r="Q83" s="123"/>
      <c r="R83" s="123"/>
      <c r="S83" s="123"/>
      <c r="T83" s="123"/>
      <c r="U83" s="124"/>
      <c r="V83" s="9"/>
      <c r="W83" s="9"/>
      <c r="X83" s="6">
        <f t="shared" si="12"/>
        <v>-1</v>
      </c>
      <c r="Y83" s="6">
        <f t="shared" si="13"/>
        <v>-1</v>
      </c>
      <c r="Z83" s="6">
        <f t="shared" si="14"/>
        <v>-1</v>
      </c>
      <c r="AA83" s="6">
        <f t="shared" si="15"/>
        <v>-1</v>
      </c>
      <c r="AB83" s="6">
        <f t="shared" si="16"/>
        <v>-1</v>
      </c>
      <c r="AC83" s="6">
        <f t="shared" si="17"/>
        <v>-1</v>
      </c>
      <c r="AD83" s="6">
        <f t="shared" si="11"/>
        <v>-14</v>
      </c>
      <c r="AE83" s="106"/>
      <c r="AF83" s="106"/>
    </row>
    <row r="84" spans="1:32" x14ac:dyDescent="0.3">
      <c r="A84" s="126"/>
      <c r="B84" s="11" t="s">
        <v>111</v>
      </c>
      <c r="C84" s="36"/>
      <c r="D84" s="36"/>
      <c r="E84" s="39"/>
      <c r="F84" s="17"/>
      <c r="G84" s="6"/>
      <c r="H84" s="6"/>
      <c r="I84" s="15">
        <v>-1</v>
      </c>
      <c r="J84" s="15">
        <v>-1</v>
      </c>
      <c r="K84" s="15">
        <v>-1</v>
      </c>
      <c r="L84" s="15">
        <v>-1</v>
      </c>
      <c r="M84" s="15">
        <v>-1</v>
      </c>
      <c r="N84" s="15">
        <v>-1</v>
      </c>
      <c r="O84" s="2">
        <f t="shared" si="10"/>
        <v>-14</v>
      </c>
      <c r="P84" s="122"/>
      <c r="Q84" s="123"/>
      <c r="R84" s="123"/>
      <c r="S84" s="123"/>
      <c r="T84" s="123"/>
      <c r="U84" s="124"/>
      <c r="V84" s="9"/>
      <c r="W84" s="9"/>
      <c r="X84" s="6">
        <f t="shared" si="12"/>
        <v>-1</v>
      </c>
      <c r="Y84" s="6">
        <f t="shared" si="13"/>
        <v>-1</v>
      </c>
      <c r="Z84" s="6">
        <f t="shared" si="14"/>
        <v>-1</v>
      </c>
      <c r="AA84" s="6">
        <f t="shared" si="15"/>
        <v>-1</v>
      </c>
      <c r="AB84" s="6">
        <f t="shared" si="16"/>
        <v>-1</v>
      </c>
      <c r="AC84" s="6">
        <f t="shared" si="17"/>
        <v>-1</v>
      </c>
      <c r="AD84" s="6">
        <f t="shared" si="11"/>
        <v>-14</v>
      </c>
      <c r="AE84" s="106"/>
      <c r="AF84" s="106"/>
    </row>
    <row r="85" spans="1:32" x14ac:dyDescent="0.3">
      <c r="A85" s="126"/>
      <c r="B85" s="14" t="s">
        <v>112</v>
      </c>
      <c r="C85" s="36"/>
      <c r="D85" s="36"/>
      <c r="E85" s="39"/>
      <c r="F85" s="17"/>
      <c r="G85" s="6"/>
      <c r="H85" s="6"/>
      <c r="I85" s="15">
        <v>-1</v>
      </c>
      <c r="J85" s="15">
        <v>-1</v>
      </c>
      <c r="K85" s="15">
        <v>-1</v>
      </c>
      <c r="L85" s="15">
        <v>-1</v>
      </c>
      <c r="M85" s="15">
        <v>-1</v>
      </c>
      <c r="N85" s="15">
        <v>-1</v>
      </c>
      <c r="O85" s="2">
        <f t="shared" si="10"/>
        <v>-14</v>
      </c>
      <c r="P85" s="122"/>
      <c r="Q85" s="123"/>
      <c r="R85" s="123"/>
      <c r="S85" s="123"/>
      <c r="T85" s="123"/>
      <c r="U85" s="124"/>
      <c r="V85" s="9"/>
      <c r="W85" s="9"/>
      <c r="X85" s="6">
        <f t="shared" si="12"/>
        <v>-1</v>
      </c>
      <c r="Y85" s="6">
        <f t="shared" si="13"/>
        <v>-1</v>
      </c>
      <c r="Z85" s="6">
        <f t="shared" si="14"/>
        <v>-1</v>
      </c>
      <c r="AA85" s="6">
        <f t="shared" si="15"/>
        <v>-1</v>
      </c>
      <c r="AB85" s="6">
        <f t="shared" si="16"/>
        <v>-1</v>
      </c>
      <c r="AC85" s="6">
        <f t="shared" si="17"/>
        <v>-1</v>
      </c>
      <c r="AD85" s="6">
        <f t="shared" si="11"/>
        <v>-14</v>
      </c>
      <c r="AE85" s="106"/>
      <c r="AF85" s="106"/>
    </row>
    <row r="86" spans="1:32" x14ac:dyDescent="0.3">
      <c r="A86" s="126"/>
      <c r="B86" s="11" t="s">
        <v>113</v>
      </c>
      <c r="C86" s="36"/>
      <c r="D86" s="36"/>
      <c r="E86" s="39"/>
      <c r="F86" s="17"/>
      <c r="G86" s="6"/>
      <c r="H86" s="6"/>
      <c r="I86" s="15">
        <v>-1</v>
      </c>
      <c r="J86" s="15">
        <v>-1</v>
      </c>
      <c r="K86" s="15">
        <v>-1</v>
      </c>
      <c r="L86" s="15">
        <v>-1</v>
      </c>
      <c r="M86" s="15">
        <v>-1</v>
      </c>
      <c r="N86" s="15">
        <v>-1</v>
      </c>
      <c r="O86" s="2">
        <f t="shared" si="10"/>
        <v>-14</v>
      </c>
      <c r="P86" s="122"/>
      <c r="Q86" s="123"/>
      <c r="R86" s="123"/>
      <c r="S86" s="123"/>
      <c r="T86" s="123"/>
      <c r="U86" s="124"/>
      <c r="V86" s="9"/>
      <c r="W86" s="9"/>
      <c r="X86" s="6">
        <f t="shared" si="12"/>
        <v>-1</v>
      </c>
      <c r="Y86" s="6">
        <f t="shared" si="13"/>
        <v>-1</v>
      </c>
      <c r="Z86" s="6">
        <f t="shared" si="14"/>
        <v>-1</v>
      </c>
      <c r="AA86" s="6">
        <f t="shared" si="15"/>
        <v>-1</v>
      </c>
      <c r="AB86" s="6">
        <f t="shared" si="16"/>
        <v>-1</v>
      </c>
      <c r="AC86" s="6">
        <f t="shared" si="17"/>
        <v>-1</v>
      </c>
      <c r="AD86" s="6">
        <f t="shared" si="11"/>
        <v>-14</v>
      </c>
      <c r="AE86" s="106"/>
      <c r="AF86" s="106"/>
    </row>
    <row r="87" spans="1:32" x14ac:dyDescent="0.3">
      <c r="A87" s="126"/>
      <c r="B87" s="11" t="s">
        <v>114</v>
      </c>
      <c r="C87" s="36"/>
      <c r="D87" s="36"/>
      <c r="E87" s="39"/>
      <c r="F87" s="17"/>
      <c r="G87" s="6"/>
      <c r="H87" s="6"/>
      <c r="I87" s="15">
        <v>-1</v>
      </c>
      <c r="J87" s="15">
        <v>-1</v>
      </c>
      <c r="K87" s="15">
        <v>-1</v>
      </c>
      <c r="L87" s="15">
        <v>-1</v>
      </c>
      <c r="M87" s="15">
        <v>-1</v>
      </c>
      <c r="N87" s="15">
        <v>-1</v>
      </c>
      <c r="O87" s="2">
        <f t="shared" si="10"/>
        <v>-14</v>
      </c>
      <c r="P87" s="122"/>
      <c r="Q87" s="123"/>
      <c r="R87" s="123"/>
      <c r="S87" s="123"/>
      <c r="T87" s="123"/>
      <c r="U87" s="124"/>
      <c r="V87" s="9"/>
      <c r="W87" s="9"/>
      <c r="X87" s="6">
        <f t="shared" si="12"/>
        <v>-1</v>
      </c>
      <c r="Y87" s="6">
        <f t="shared" si="13"/>
        <v>-1</v>
      </c>
      <c r="Z87" s="6">
        <f t="shared" si="14"/>
        <v>-1</v>
      </c>
      <c r="AA87" s="6">
        <f t="shared" si="15"/>
        <v>-1</v>
      </c>
      <c r="AB87" s="6">
        <f t="shared" si="16"/>
        <v>-1</v>
      </c>
      <c r="AC87" s="6">
        <f t="shared" si="17"/>
        <v>-1</v>
      </c>
      <c r="AD87" s="6">
        <f t="shared" si="11"/>
        <v>-14</v>
      </c>
      <c r="AE87" s="106"/>
      <c r="AF87" s="106"/>
    </row>
    <row r="88" spans="1:32" x14ac:dyDescent="0.3">
      <c r="A88" s="126"/>
      <c r="B88" s="11" t="s">
        <v>115</v>
      </c>
      <c r="C88" s="36"/>
      <c r="D88" s="36"/>
      <c r="E88" s="39"/>
      <c r="F88" s="17"/>
      <c r="G88" s="6"/>
      <c r="H88" s="6"/>
      <c r="I88" s="15">
        <v>-1</v>
      </c>
      <c r="J88" s="15">
        <v>-1</v>
      </c>
      <c r="K88" s="15">
        <v>-1</v>
      </c>
      <c r="L88" s="15">
        <v>-1</v>
      </c>
      <c r="M88" s="15">
        <v>-1</v>
      </c>
      <c r="N88" s="15">
        <v>-1</v>
      </c>
      <c r="O88" s="2">
        <f t="shared" si="10"/>
        <v>-14</v>
      </c>
      <c r="P88" s="122"/>
      <c r="Q88" s="123"/>
      <c r="R88" s="123"/>
      <c r="S88" s="123"/>
      <c r="T88" s="123"/>
      <c r="U88" s="124"/>
      <c r="V88" s="9"/>
      <c r="W88" s="9"/>
      <c r="X88" s="6">
        <f t="shared" si="12"/>
        <v>-1</v>
      </c>
      <c r="Y88" s="6">
        <f t="shared" si="13"/>
        <v>-1</v>
      </c>
      <c r="Z88" s="6">
        <f t="shared" si="14"/>
        <v>-1</v>
      </c>
      <c r="AA88" s="6">
        <f t="shared" si="15"/>
        <v>-1</v>
      </c>
      <c r="AB88" s="6">
        <f t="shared" si="16"/>
        <v>-1</v>
      </c>
      <c r="AC88" s="6">
        <f t="shared" si="17"/>
        <v>-1</v>
      </c>
      <c r="AD88" s="6">
        <f t="shared" si="11"/>
        <v>-14</v>
      </c>
      <c r="AE88" s="106"/>
      <c r="AF88" s="106"/>
    </row>
    <row r="89" spans="1:32" x14ac:dyDescent="0.3">
      <c r="A89" s="126"/>
      <c r="B89" s="11" t="s">
        <v>116</v>
      </c>
      <c r="C89" s="36"/>
      <c r="D89" s="36"/>
      <c r="E89" s="39"/>
      <c r="F89" s="17"/>
      <c r="G89" s="6"/>
      <c r="H89" s="6"/>
      <c r="I89" s="15">
        <v>-1</v>
      </c>
      <c r="J89" s="15">
        <v>-1</v>
      </c>
      <c r="K89" s="15">
        <v>-1</v>
      </c>
      <c r="L89" s="15">
        <v>-1</v>
      </c>
      <c r="M89" s="15">
        <v>-1</v>
      </c>
      <c r="N89" s="15">
        <v>-1</v>
      </c>
      <c r="O89" s="2">
        <f t="shared" si="10"/>
        <v>-14</v>
      </c>
      <c r="P89" s="122"/>
      <c r="Q89" s="123"/>
      <c r="R89" s="123"/>
      <c r="S89" s="123"/>
      <c r="T89" s="123"/>
      <c r="U89" s="124"/>
      <c r="V89" s="9"/>
      <c r="W89" s="9"/>
      <c r="X89" s="6">
        <f t="shared" si="12"/>
        <v>-1</v>
      </c>
      <c r="Y89" s="6">
        <f t="shared" si="13"/>
        <v>-1</v>
      </c>
      <c r="Z89" s="6">
        <f t="shared" si="14"/>
        <v>-1</v>
      </c>
      <c r="AA89" s="6">
        <f t="shared" si="15"/>
        <v>-1</v>
      </c>
      <c r="AB89" s="6">
        <f t="shared" si="16"/>
        <v>-1</v>
      </c>
      <c r="AC89" s="6">
        <f t="shared" si="17"/>
        <v>-1</v>
      </c>
      <c r="AD89" s="6">
        <f t="shared" si="11"/>
        <v>-14</v>
      </c>
      <c r="AE89" s="106"/>
      <c r="AF89" s="106"/>
    </row>
    <row r="90" spans="1:32" x14ac:dyDescent="0.3">
      <c r="A90" s="126"/>
      <c r="B90" s="11" t="s">
        <v>117</v>
      </c>
      <c r="C90" s="36"/>
      <c r="D90" s="36"/>
      <c r="E90" s="39"/>
      <c r="F90" s="17"/>
      <c r="G90" s="6"/>
      <c r="H90" s="6"/>
      <c r="I90" s="15">
        <v>-1</v>
      </c>
      <c r="J90" s="15">
        <v>-1</v>
      </c>
      <c r="K90" s="15">
        <v>-1</v>
      </c>
      <c r="L90" s="15">
        <v>-1</v>
      </c>
      <c r="M90" s="15">
        <v>-1</v>
      </c>
      <c r="N90" s="15">
        <v>-1</v>
      </c>
      <c r="O90" s="2">
        <f t="shared" si="10"/>
        <v>-14</v>
      </c>
      <c r="P90" s="122"/>
      <c r="Q90" s="123"/>
      <c r="R90" s="123"/>
      <c r="S90" s="123"/>
      <c r="T90" s="123"/>
      <c r="U90" s="124"/>
      <c r="V90" s="9"/>
      <c r="W90" s="9"/>
      <c r="X90" s="6">
        <f t="shared" si="12"/>
        <v>-1</v>
      </c>
      <c r="Y90" s="6">
        <f t="shared" si="13"/>
        <v>-1</v>
      </c>
      <c r="Z90" s="6">
        <f t="shared" si="14"/>
        <v>-1</v>
      </c>
      <c r="AA90" s="6">
        <f t="shared" si="15"/>
        <v>-1</v>
      </c>
      <c r="AB90" s="6">
        <f t="shared" si="16"/>
        <v>-1</v>
      </c>
      <c r="AC90" s="6">
        <f t="shared" si="17"/>
        <v>-1</v>
      </c>
      <c r="AD90" s="6">
        <f t="shared" si="11"/>
        <v>-14</v>
      </c>
      <c r="AE90" s="106"/>
      <c r="AF90" s="106"/>
    </row>
    <row r="91" spans="1:32" x14ac:dyDescent="0.3">
      <c r="A91" s="126"/>
      <c r="B91" s="11" t="s">
        <v>118</v>
      </c>
      <c r="C91" s="36"/>
      <c r="D91" s="36"/>
      <c r="E91" s="39"/>
      <c r="F91" s="17"/>
      <c r="G91" s="6"/>
      <c r="H91" s="6"/>
      <c r="I91" s="15">
        <v>-1</v>
      </c>
      <c r="J91" s="15">
        <v>-1</v>
      </c>
      <c r="K91" s="15">
        <v>-1</v>
      </c>
      <c r="L91" s="15">
        <v>-1</v>
      </c>
      <c r="M91" s="15">
        <v>-1</v>
      </c>
      <c r="N91" s="15">
        <v>-1</v>
      </c>
      <c r="O91" s="2">
        <f t="shared" si="10"/>
        <v>-14</v>
      </c>
      <c r="P91" s="122"/>
      <c r="Q91" s="123"/>
      <c r="R91" s="123"/>
      <c r="S91" s="123"/>
      <c r="T91" s="123"/>
      <c r="U91" s="124"/>
      <c r="V91" s="9"/>
      <c r="W91" s="9"/>
      <c r="X91" s="6">
        <f t="shared" si="12"/>
        <v>-1</v>
      </c>
      <c r="Y91" s="6">
        <f t="shared" si="13"/>
        <v>-1</v>
      </c>
      <c r="Z91" s="6">
        <f t="shared" si="14"/>
        <v>-1</v>
      </c>
      <c r="AA91" s="6">
        <f t="shared" si="15"/>
        <v>-1</v>
      </c>
      <c r="AB91" s="6">
        <f t="shared" si="16"/>
        <v>-1</v>
      </c>
      <c r="AC91" s="6">
        <f t="shared" si="17"/>
        <v>-1</v>
      </c>
      <c r="AD91" s="6">
        <f t="shared" si="11"/>
        <v>-14</v>
      </c>
      <c r="AE91" s="106"/>
      <c r="AF91" s="106"/>
    </row>
    <row r="92" spans="1:32" x14ac:dyDescent="0.3">
      <c r="A92" s="126"/>
      <c r="B92" s="11" t="s">
        <v>119</v>
      </c>
      <c r="C92" s="36"/>
      <c r="D92" s="36"/>
      <c r="E92" s="39"/>
      <c r="F92" s="17"/>
      <c r="G92" s="6"/>
      <c r="H92" s="6"/>
      <c r="I92" s="15">
        <v>-1</v>
      </c>
      <c r="J92" s="15">
        <v>-1</v>
      </c>
      <c r="K92" s="15">
        <v>-1</v>
      </c>
      <c r="L92" s="15">
        <v>-1</v>
      </c>
      <c r="M92" s="15">
        <v>-1</v>
      </c>
      <c r="N92" s="15">
        <v>-1</v>
      </c>
      <c r="O92" s="2">
        <f t="shared" si="10"/>
        <v>-14</v>
      </c>
      <c r="P92" s="122"/>
      <c r="Q92" s="123"/>
      <c r="R92" s="123"/>
      <c r="S92" s="123"/>
      <c r="T92" s="123"/>
      <c r="U92" s="124"/>
      <c r="V92" s="9"/>
      <c r="W92" s="9"/>
      <c r="X92" s="6">
        <f t="shared" si="12"/>
        <v>-1</v>
      </c>
      <c r="Y92" s="6">
        <f t="shared" si="13"/>
        <v>-1</v>
      </c>
      <c r="Z92" s="6">
        <f t="shared" si="14"/>
        <v>-1</v>
      </c>
      <c r="AA92" s="6">
        <f t="shared" si="15"/>
        <v>-1</v>
      </c>
      <c r="AB92" s="6">
        <f t="shared" si="16"/>
        <v>-1</v>
      </c>
      <c r="AC92" s="6">
        <f t="shared" si="17"/>
        <v>-1</v>
      </c>
      <c r="AD92" s="6">
        <f t="shared" si="11"/>
        <v>-14</v>
      </c>
      <c r="AE92" s="106"/>
      <c r="AF92" s="106"/>
    </row>
    <row r="93" spans="1:32" x14ac:dyDescent="0.3">
      <c r="A93" s="126"/>
      <c r="B93" s="11" t="s">
        <v>120</v>
      </c>
      <c r="C93" s="36"/>
      <c r="D93" s="36"/>
      <c r="E93" s="39"/>
      <c r="F93" s="17"/>
      <c r="G93" s="6"/>
      <c r="H93" s="6"/>
      <c r="I93" s="15">
        <v>-1</v>
      </c>
      <c r="J93" s="15">
        <v>-1</v>
      </c>
      <c r="K93" s="15">
        <v>-1</v>
      </c>
      <c r="L93" s="15">
        <v>-1</v>
      </c>
      <c r="M93" s="15">
        <v>-1</v>
      </c>
      <c r="N93" s="15">
        <v>-1</v>
      </c>
      <c r="O93" s="2">
        <f t="shared" si="10"/>
        <v>-14</v>
      </c>
      <c r="P93" s="122"/>
      <c r="Q93" s="123"/>
      <c r="R93" s="123"/>
      <c r="S93" s="123"/>
      <c r="T93" s="123"/>
      <c r="U93" s="124"/>
      <c r="V93" s="9"/>
      <c r="W93" s="9"/>
      <c r="X93" s="6">
        <f t="shared" si="12"/>
        <v>-1</v>
      </c>
      <c r="Y93" s="6">
        <f t="shared" si="13"/>
        <v>-1</v>
      </c>
      <c r="Z93" s="6">
        <f t="shared" si="14"/>
        <v>-1</v>
      </c>
      <c r="AA93" s="6">
        <f t="shared" si="15"/>
        <v>-1</v>
      </c>
      <c r="AB93" s="6">
        <f t="shared" si="16"/>
        <v>-1</v>
      </c>
      <c r="AC93" s="6">
        <f t="shared" si="17"/>
        <v>-1</v>
      </c>
      <c r="AD93" s="6">
        <f t="shared" si="11"/>
        <v>-14</v>
      </c>
      <c r="AE93" s="106"/>
      <c r="AF93" s="106"/>
    </row>
    <row r="94" spans="1:32" x14ac:dyDescent="0.3">
      <c r="A94" s="126"/>
      <c r="B94" s="11" t="s">
        <v>121</v>
      </c>
      <c r="C94" s="36"/>
      <c r="D94" s="36"/>
      <c r="E94" s="39"/>
      <c r="F94" s="17"/>
      <c r="G94" s="6"/>
      <c r="H94" s="6"/>
      <c r="I94" s="15">
        <v>-1</v>
      </c>
      <c r="J94" s="15">
        <v>-1</v>
      </c>
      <c r="K94" s="15">
        <v>-1</v>
      </c>
      <c r="L94" s="15">
        <v>-1</v>
      </c>
      <c r="M94" s="15">
        <v>-1</v>
      </c>
      <c r="N94" s="15">
        <v>-1</v>
      </c>
      <c r="O94" s="2">
        <f t="shared" si="10"/>
        <v>-14</v>
      </c>
      <c r="P94" s="122"/>
      <c r="Q94" s="123"/>
      <c r="R94" s="123"/>
      <c r="S94" s="123"/>
      <c r="T94" s="123"/>
      <c r="U94" s="124"/>
      <c r="V94" s="9"/>
      <c r="W94" s="9"/>
      <c r="X94" s="6">
        <f t="shared" si="12"/>
        <v>-1</v>
      </c>
      <c r="Y94" s="6">
        <f t="shared" si="13"/>
        <v>-1</v>
      </c>
      <c r="Z94" s="6">
        <f t="shared" si="14"/>
        <v>-1</v>
      </c>
      <c r="AA94" s="6">
        <f t="shared" si="15"/>
        <v>-1</v>
      </c>
      <c r="AB94" s="6">
        <f t="shared" si="16"/>
        <v>-1</v>
      </c>
      <c r="AC94" s="6">
        <f t="shared" si="17"/>
        <v>-1</v>
      </c>
      <c r="AD94" s="6">
        <f t="shared" si="11"/>
        <v>-14</v>
      </c>
      <c r="AE94" s="106"/>
      <c r="AF94" s="106"/>
    </row>
    <row r="95" spans="1:32" x14ac:dyDescent="0.3">
      <c r="A95" s="126"/>
      <c r="B95" s="11" t="s">
        <v>122</v>
      </c>
      <c r="C95" s="36"/>
      <c r="D95" s="36"/>
      <c r="E95" s="39"/>
      <c r="F95" s="17"/>
      <c r="G95" s="6"/>
      <c r="H95" s="6"/>
      <c r="I95" s="15">
        <v>-1</v>
      </c>
      <c r="J95" s="15">
        <v>-1</v>
      </c>
      <c r="K95" s="15">
        <v>-1</v>
      </c>
      <c r="L95" s="15">
        <v>-1</v>
      </c>
      <c r="M95" s="15">
        <v>-1</v>
      </c>
      <c r="N95" s="15">
        <v>-1</v>
      </c>
      <c r="O95" s="2">
        <f t="shared" si="10"/>
        <v>-14</v>
      </c>
      <c r="P95" s="122"/>
      <c r="Q95" s="123"/>
      <c r="R95" s="123"/>
      <c r="S95" s="123"/>
      <c r="T95" s="123"/>
      <c r="U95" s="124"/>
      <c r="V95" s="9"/>
      <c r="W95" s="9"/>
      <c r="X95" s="6">
        <f t="shared" si="12"/>
        <v>-1</v>
      </c>
      <c r="Y95" s="6">
        <f t="shared" si="13"/>
        <v>-1</v>
      </c>
      <c r="Z95" s="6">
        <f t="shared" si="14"/>
        <v>-1</v>
      </c>
      <c r="AA95" s="6">
        <f t="shared" si="15"/>
        <v>-1</v>
      </c>
      <c r="AB95" s="6">
        <f t="shared" si="16"/>
        <v>-1</v>
      </c>
      <c r="AC95" s="6">
        <f t="shared" si="17"/>
        <v>-1</v>
      </c>
      <c r="AD95" s="6">
        <f t="shared" si="11"/>
        <v>-14</v>
      </c>
      <c r="AE95" s="106"/>
      <c r="AF95" s="106"/>
    </row>
    <row r="96" spans="1:32" x14ac:dyDescent="0.3">
      <c r="A96" s="126"/>
      <c r="B96" s="11" t="s">
        <v>123</v>
      </c>
      <c r="C96" s="36"/>
      <c r="D96" s="36"/>
      <c r="E96" s="39"/>
      <c r="F96" s="17"/>
      <c r="G96" s="6"/>
      <c r="H96" s="6"/>
      <c r="I96" s="15">
        <v>-1</v>
      </c>
      <c r="J96" s="15">
        <v>-1</v>
      </c>
      <c r="K96" s="15">
        <v>-1</v>
      </c>
      <c r="L96" s="15">
        <v>-1</v>
      </c>
      <c r="M96" s="15">
        <v>-1</v>
      </c>
      <c r="N96" s="15">
        <v>-1</v>
      </c>
      <c r="O96" s="2">
        <f t="shared" si="10"/>
        <v>-14</v>
      </c>
      <c r="P96" s="122"/>
      <c r="Q96" s="123"/>
      <c r="R96" s="123"/>
      <c r="S96" s="123"/>
      <c r="T96" s="123"/>
      <c r="U96" s="124"/>
      <c r="V96" s="9"/>
      <c r="W96" s="9"/>
      <c r="X96" s="6">
        <f t="shared" si="12"/>
        <v>-1</v>
      </c>
      <c r="Y96" s="6">
        <f t="shared" si="13"/>
        <v>-1</v>
      </c>
      <c r="Z96" s="6">
        <f t="shared" si="14"/>
        <v>-1</v>
      </c>
      <c r="AA96" s="6">
        <f t="shared" si="15"/>
        <v>-1</v>
      </c>
      <c r="AB96" s="6">
        <f t="shared" si="16"/>
        <v>-1</v>
      </c>
      <c r="AC96" s="6">
        <f t="shared" si="17"/>
        <v>-1</v>
      </c>
      <c r="AD96" s="6">
        <f t="shared" si="11"/>
        <v>-14</v>
      </c>
      <c r="AE96" s="106"/>
      <c r="AF96" s="106"/>
    </row>
    <row r="97" spans="1:32" x14ac:dyDescent="0.3">
      <c r="A97" s="126"/>
      <c r="B97" s="11" t="s">
        <v>124</v>
      </c>
      <c r="C97" s="36"/>
      <c r="D97" s="36"/>
      <c r="E97" s="39"/>
      <c r="F97" s="17"/>
      <c r="G97" s="6"/>
      <c r="H97" s="6"/>
      <c r="I97" s="15">
        <v>-1</v>
      </c>
      <c r="J97" s="15">
        <v>-1</v>
      </c>
      <c r="K97" s="15">
        <v>-1</v>
      </c>
      <c r="L97" s="15">
        <v>-1</v>
      </c>
      <c r="M97" s="15">
        <v>-1</v>
      </c>
      <c r="N97" s="15">
        <v>-1</v>
      </c>
      <c r="O97" s="2">
        <f t="shared" si="10"/>
        <v>-14</v>
      </c>
      <c r="P97" s="122"/>
      <c r="Q97" s="123"/>
      <c r="R97" s="123"/>
      <c r="S97" s="123"/>
      <c r="T97" s="123"/>
      <c r="U97" s="124"/>
      <c r="V97" s="9"/>
      <c r="W97" s="9"/>
      <c r="X97" s="6">
        <f t="shared" si="12"/>
        <v>-1</v>
      </c>
      <c r="Y97" s="6">
        <f t="shared" si="13"/>
        <v>-1</v>
      </c>
      <c r="Z97" s="6">
        <f t="shared" si="14"/>
        <v>-1</v>
      </c>
      <c r="AA97" s="6">
        <f t="shared" si="15"/>
        <v>-1</v>
      </c>
      <c r="AB97" s="6">
        <f t="shared" si="16"/>
        <v>-1</v>
      </c>
      <c r="AC97" s="6">
        <f t="shared" si="17"/>
        <v>-1</v>
      </c>
      <c r="AD97" s="6">
        <f t="shared" si="11"/>
        <v>-14</v>
      </c>
      <c r="AE97" s="106"/>
      <c r="AF97" s="106"/>
    </row>
    <row r="98" spans="1:32" x14ac:dyDescent="0.3">
      <c r="A98" s="126"/>
      <c r="B98" s="11" t="s">
        <v>125</v>
      </c>
      <c r="C98" s="36"/>
      <c r="D98" s="36"/>
      <c r="E98" s="39"/>
      <c r="F98" s="17"/>
      <c r="G98" s="6"/>
      <c r="H98" s="6"/>
      <c r="I98" s="15">
        <v>-1</v>
      </c>
      <c r="J98" s="15">
        <v>-1</v>
      </c>
      <c r="K98" s="15">
        <v>-1</v>
      </c>
      <c r="L98" s="15">
        <v>-1</v>
      </c>
      <c r="M98" s="15">
        <v>-1</v>
      </c>
      <c r="N98" s="15">
        <v>-1</v>
      </c>
      <c r="O98" s="2">
        <f t="shared" si="10"/>
        <v>-14</v>
      </c>
      <c r="P98" s="122"/>
      <c r="Q98" s="123"/>
      <c r="R98" s="123"/>
      <c r="S98" s="123"/>
      <c r="T98" s="123"/>
      <c r="U98" s="124"/>
      <c r="V98" s="9"/>
      <c r="W98" s="9"/>
      <c r="X98" s="6">
        <f t="shared" si="12"/>
        <v>-1</v>
      </c>
      <c r="Y98" s="6">
        <f t="shared" si="13"/>
        <v>-1</v>
      </c>
      <c r="Z98" s="6">
        <f t="shared" si="14"/>
        <v>-1</v>
      </c>
      <c r="AA98" s="6">
        <f t="shared" si="15"/>
        <v>-1</v>
      </c>
      <c r="AB98" s="6">
        <f t="shared" si="16"/>
        <v>-1</v>
      </c>
      <c r="AC98" s="6">
        <f t="shared" si="17"/>
        <v>-1</v>
      </c>
      <c r="AD98" s="6">
        <f t="shared" si="11"/>
        <v>-14</v>
      </c>
      <c r="AE98" s="106"/>
      <c r="AF98" s="106"/>
    </row>
    <row r="99" spans="1:32" x14ac:dyDescent="0.3">
      <c r="A99" s="126"/>
      <c r="B99" s="11" t="s">
        <v>126</v>
      </c>
      <c r="C99" s="36"/>
      <c r="D99" s="36"/>
      <c r="E99" s="39"/>
      <c r="F99" s="17"/>
      <c r="G99" s="6"/>
      <c r="H99" s="6"/>
      <c r="I99" s="15">
        <v>-1</v>
      </c>
      <c r="J99" s="15">
        <v>-1</v>
      </c>
      <c r="K99" s="15">
        <v>-1</v>
      </c>
      <c r="L99" s="15">
        <v>-1</v>
      </c>
      <c r="M99" s="15">
        <v>-1</v>
      </c>
      <c r="N99" s="15">
        <v>-1</v>
      </c>
      <c r="O99" s="2">
        <f t="shared" si="10"/>
        <v>-14</v>
      </c>
      <c r="P99" s="122"/>
      <c r="Q99" s="123"/>
      <c r="R99" s="123"/>
      <c r="S99" s="123"/>
      <c r="T99" s="123"/>
      <c r="U99" s="124"/>
      <c r="V99" s="9"/>
      <c r="W99" s="9"/>
      <c r="X99" s="6">
        <f t="shared" si="12"/>
        <v>-1</v>
      </c>
      <c r="Y99" s="6">
        <f t="shared" si="13"/>
        <v>-1</v>
      </c>
      <c r="Z99" s="6">
        <f t="shared" si="14"/>
        <v>-1</v>
      </c>
      <c r="AA99" s="6">
        <f t="shared" si="15"/>
        <v>-1</v>
      </c>
      <c r="AB99" s="6">
        <f t="shared" si="16"/>
        <v>-1</v>
      </c>
      <c r="AC99" s="6">
        <f t="shared" si="17"/>
        <v>-1</v>
      </c>
      <c r="AD99" s="6">
        <f t="shared" si="11"/>
        <v>-14</v>
      </c>
      <c r="AE99" s="106"/>
      <c r="AF99" s="106"/>
    </row>
    <row r="100" spans="1:32" x14ac:dyDescent="0.3">
      <c r="A100" s="126"/>
      <c r="B100" s="11" t="s">
        <v>127</v>
      </c>
      <c r="C100" s="36"/>
      <c r="D100" s="36"/>
      <c r="E100" s="39"/>
      <c r="F100" s="17"/>
      <c r="G100" s="6"/>
      <c r="H100" s="6"/>
      <c r="I100" s="15">
        <v>-1</v>
      </c>
      <c r="J100" s="15">
        <v>-1</v>
      </c>
      <c r="K100" s="15">
        <v>-1</v>
      </c>
      <c r="L100" s="15">
        <v>-1</v>
      </c>
      <c r="M100" s="15">
        <v>-1</v>
      </c>
      <c r="N100" s="15">
        <v>-1</v>
      </c>
      <c r="O100" s="2">
        <f t="shared" si="10"/>
        <v>-14</v>
      </c>
      <c r="P100" s="122"/>
      <c r="Q100" s="123"/>
      <c r="R100" s="123"/>
      <c r="S100" s="123"/>
      <c r="T100" s="123"/>
      <c r="U100" s="124"/>
      <c r="V100" s="9"/>
      <c r="W100" s="9"/>
      <c r="X100" s="6">
        <f t="shared" si="12"/>
        <v>-1</v>
      </c>
      <c r="Y100" s="6">
        <f t="shared" si="13"/>
        <v>-1</v>
      </c>
      <c r="Z100" s="6">
        <f t="shared" si="14"/>
        <v>-1</v>
      </c>
      <c r="AA100" s="6">
        <f t="shared" si="15"/>
        <v>-1</v>
      </c>
      <c r="AB100" s="6">
        <f t="shared" si="16"/>
        <v>-1</v>
      </c>
      <c r="AC100" s="6">
        <f t="shared" si="17"/>
        <v>-1</v>
      </c>
      <c r="AD100" s="6">
        <f t="shared" si="11"/>
        <v>-14</v>
      </c>
      <c r="AE100" s="106"/>
      <c r="AF100" s="106"/>
    </row>
    <row r="101" spans="1:32" x14ac:dyDescent="0.3">
      <c r="A101" s="126"/>
      <c r="B101" s="11" t="s">
        <v>128</v>
      </c>
      <c r="C101" s="36"/>
      <c r="D101" s="36"/>
      <c r="E101" s="39"/>
      <c r="F101" s="17"/>
      <c r="G101" s="6"/>
      <c r="H101" s="6"/>
      <c r="I101" s="15">
        <v>-1</v>
      </c>
      <c r="J101" s="15">
        <v>-1</v>
      </c>
      <c r="K101" s="15">
        <v>-1</v>
      </c>
      <c r="L101" s="15">
        <v>-1</v>
      </c>
      <c r="M101" s="15">
        <v>-1</v>
      </c>
      <c r="N101" s="15">
        <v>-1</v>
      </c>
      <c r="O101" s="2">
        <f t="shared" si="10"/>
        <v>-14</v>
      </c>
      <c r="P101" s="122"/>
      <c r="Q101" s="123"/>
      <c r="R101" s="123"/>
      <c r="S101" s="123"/>
      <c r="T101" s="123"/>
      <c r="U101" s="124"/>
      <c r="V101" s="9"/>
      <c r="W101" s="9"/>
      <c r="X101" s="6">
        <f t="shared" si="12"/>
        <v>-1</v>
      </c>
      <c r="Y101" s="6">
        <f t="shared" si="13"/>
        <v>-1</v>
      </c>
      <c r="Z101" s="6">
        <f t="shared" si="14"/>
        <v>-1</v>
      </c>
      <c r="AA101" s="6">
        <f t="shared" si="15"/>
        <v>-1</v>
      </c>
      <c r="AB101" s="6">
        <f t="shared" si="16"/>
        <v>-1</v>
      </c>
      <c r="AC101" s="6">
        <f t="shared" si="17"/>
        <v>-1</v>
      </c>
      <c r="AD101" s="6">
        <f t="shared" si="11"/>
        <v>-14</v>
      </c>
      <c r="AE101" s="106"/>
      <c r="AF101" s="106"/>
    </row>
    <row r="102" spans="1:32" x14ac:dyDescent="0.3">
      <c r="A102" s="126"/>
      <c r="B102" s="11" t="s">
        <v>129</v>
      </c>
      <c r="C102" s="36"/>
      <c r="D102" s="36"/>
      <c r="E102" s="39"/>
      <c r="F102" s="17"/>
      <c r="G102" s="6"/>
      <c r="H102" s="6"/>
      <c r="I102" s="15">
        <v>-1</v>
      </c>
      <c r="J102" s="15">
        <v>-1</v>
      </c>
      <c r="K102" s="15">
        <v>-1</v>
      </c>
      <c r="L102" s="15">
        <v>-1</v>
      </c>
      <c r="M102" s="15">
        <v>-1</v>
      </c>
      <c r="N102" s="15">
        <v>-1</v>
      </c>
      <c r="O102" s="2">
        <f t="shared" si="10"/>
        <v>-14</v>
      </c>
      <c r="P102" s="122"/>
      <c r="Q102" s="123"/>
      <c r="R102" s="123"/>
      <c r="S102" s="123"/>
      <c r="T102" s="123"/>
      <c r="U102" s="124"/>
      <c r="V102" s="9"/>
      <c r="W102" s="9"/>
      <c r="X102" s="6">
        <f t="shared" si="12"/>
        <v>-1</v>
      </c>
      <c r="Y102" s="6">
        <f t="shared" si="13"/>
        <v>-1</v>
      </c>
      <c r="Z102" s="6">
        <f t="shared" si="14"/>
        <v>-1</v>
      </c>
      <c r="AA102" s="6">
        <f t="shared" si="15"/>
        <v>-1</v>
      </c>
      <c r="AB102" s="6">
        <f t="shared" si="16"/>
        <v>-1</v>
      </c>
      <c r="AC102" s="6">
        <f t="shared" si="17"/>
        <v>-1</v>
      </c>
      <c r="AD102" s="6">
        <f t="shared" si="11"/>
        <v>-14</v>
      </c>
      <c r="AE102" s="106"/>
      <c r="AF102" s="106"/>
    </row>
    <row r="103" spans="1:32" x14ac:dyDescent="0.3">
      <c r="A103" s="126"/>
      <c r="B103" s="11" t="s">
        <v>130</v>
      </c>
      <c r="C103" s="36"/>
      <c r="D103" s="36"/>
      <c r="E103" s="39"/>
      <c r="F103" s="17"/>
      <c r="G103" s="6"/>
      <c r="H103" s="6"/>
      <c r="I103" s="15">
        <v>-1</v>
      </c>
      <c r="J103" s="15">
        <v>-1</v>
      </c>
      <c r="K103" s="15">
        <v>-1</v>
      </c>
      <c r="L103" s="15">
        <v>-1</v>
      </c>
      <c r="M103" s="15">
        <v>-1</v>
      </c>
      <c r="N103" s="15">
        <v>-1</v>
      </c>
      <c r="O103" s="2">
        <f t="shared" si="10"/>
        <v>-14</v>
      </c>
      <c r="P103" s="122"/>
      <c r="Q103" s="123"/>
      <c r="R103" s="123"/>
      <c r="S103" s="123"/>
      <c r="T103" s="123"/>
      <c r="U103" s="124"/>
      <c r="V103" s="9"/>
      <c r="W103" s="9"/>
      <c r="X103" s="6">
        <f t="shared" si="12"/>
        <v>-1</v>
      </c>
      <c r="Y103" s="6">
        <f t="shared" si="13"/>
        <v>-1</v>
      </c>
      <c r="Z103" s="6">
        <f t="shared" si="14"/>
        <v>-1</v>
      </c>
      <c r="AA103" s="6">
        <f t="shared" si="15"/>
        <v>-1</v>
      </c>
      <c r="AB103" s="6">
        <f t="shared" si="16"/>
        <v>-1</v>
      </c>
      <c r="AC103" s="6">
        <f t="shared" si="17"/>
        <v>-1</v>
      </c>
      <c r="AD103" s="6">
        <f t="shared" si="11"/>
        <v>-14</v>
      </c>
      <c r="AE103" s="106"/>
      <c r="AF103" s="106"/>
    </row>
    <row r="104" spans="1:32" x14ac:dyDescent="0.3">
      <c r="A104" s="126"/>
      <c r="B104" s="11" t="s">
        <v>131</v>
      </c>
      <c r="C104" s="36"/>
      <c r="D104" s="36"/>
      <c r="E104" s="39"/>
      <c r="F104" s="17"/>
      <c r="G104" s="6"/>
      <c r="H104" s="6"/>
      <c r="I104" s="15">
        <v>-1</v>
      </c>
      <c r="J104" s="15">
        <v>-1</v>
      </c>
      <c r="K104" s="15">
        <v>-1</v>
      </c>
      <c r="L104" s="15">
        <v>-1</v>
      </c>
      <c r="M104" s="15">
        <v>-1</v>
      </c>
      <c r="N104" s="15">
        <v>-1</v>
      </c>
      <c r="O104" s="2">
        <f t="shared" si="10"/>
        <v>-14</v>
      </c>
      <c r="P104" s="122"/>
      <c r="Q104" s="123"/>
      <c r="R104" s="123"/>
      <c r="S104" s="123"/>
      <c r="T104" s="123"/>
      <c r="U104" s="124"/>
      <c r="V104" s="9"/>
      <c r="W104" s="9"/>
      <c r="X104" s="6">
        <f t="shared" si="12"/>
        <v>-1</v>
      </c>
      <c r="Y104" s="6">
        <f t="shared" si="13"/>
        <v>-1</v>
      </c>
      <c r="Z104" s="6">
        <f t="shared" si="14"/>
        <v>-1</v>
      </c>
      <c r="AA104" s="6">
        <f t="shared" si="15"/>
        <v>-1</v>
      </c>
      <c r="AB104" s="6">
        <f t="shared" si="16"/>
        <v>-1</v>
      </c>
      <c r="AC104" s="6">
        <f t="shared" si="17"/>
        <v>-1</v>
      </c>
      <c r="AD104" s="6">
        <f t="shared" si="11"/>
        <v>-14</v>
      </c>
      <c r="AE104" s="106"/>
      <c r="AF104" s="106"/>
    </row>
    <row r="105" spans="1:32" x14ac:dyDescent="0.3">
      <c r="A105" s="126"/>
      <c r="B105" s="11" t="s">
        <v>132</v>
      </c>
      <c r="C105" s="36"/>
      <c r="D105" s="36"/>
      <c r="E105" s="39"/>
      <c r="F105" s="17"/>
      <c r="G105" s="6"/>
      <c r="H105" s="6"/>
      <c r="I105" s="15">
        <v>-1</v>
      </c>
      <c r="J105" s="15">
        <v>-1</v>
      </c>
      <c r="K105" s="15">
        <v>-1</v>
      </c>
      <c r="L105" s="15">
        <v>-1</v>
      </c>
      <c r="M105" s="15">
        <v>-1</v>
      </c>
      <c r="N105" s="15">
        <v>-1</v>
      </c>
      <c r="O105" s="2">
        <f t="shared" si="10"/>
        <v>-14</v>
      </c>
      <c r="P105" s="122"/>
      <c r="Q105" s="123"/>
      <c r="R105" s="123"/>
      <c r="S105" s="123"/>
      <c r="T105" s="123"/>
      <c r="U105" s="124"/>
      <c r="V105" s="9"/>
      <c r="W105" s="9"/>
      <c r="X105" s="6">
        <f t="shared" si="12"/>
        <v>-1</v>
      </c>
      <c r="Y105" s="6">
        <f t="shared" si="13"/>
        <v>-1</v>
      </c>
      <c r="Z105" s="6">
        <f t="shared" si="14"/>
        <v>-1</v>
      </c>
      <c r="AA105" s="6">
        <f t="shared" si="15"/>
        <v>-1</v>
      </c>
      <c r="AB105" s="6">
        <f t="shared" si="16"/>
        <v>-1</v>
      </c>
      <c r="AC105" s="6">
        <f t="shared" si="17"/>
        <v>-1</v>
      </c>
      <c r="AD105" s="6">
        <f t="shared" si="11"/>
        <v>-14</v>
      </c>
      <c r="AE105" s="106"/>
      <c r="AF105" s="106"/>
    </row>
    <row r="106" spans="1:32" x14ac:dyDescent="0.3">
      <c r="A106" s="126"/>
      <c r="B106" s="11" t="s">
        <v>133</v>
      </c>
      <c r="C106" s="36"/>
      <c r="D106" s="36"/>
      <c r="E106" s="39"/>
      <c r="F106" s="17"/>
      <c r="G106" s="6"/>
      <c r="H106" s="6"/>
      <c r="I106" s="15">
        <v>-1</v>
      </c>
      <c r="J106" s="15">
        <v>-1</v>
      </c>
      <c r="K106" s="15">
        <v>-1</v>
      </c>
      <c r="L106" s="15">
        <v>-1</v>
      </c>
      <c r="M106" s="15">
        <v>-1</v>
      </c>
      <c r="N106" s="15">
        <v>-1</v>
      </c>
      <c r="O106" s="2">
        <f t="shared" si="10"/>
        <v>-14</v>
      </c>
      <c r="P106" s="122"/>
      <c r="Q106" s="123"/>
      <c r="R106" s="123"/>
      <c r="S106" s="123"/>
      <c r="T106" s="123"/>
      <c r="U106" s="124"/>
      <c r="V106" s="9"/>
      <c r="W106" s="9"/>
      <c r="X106" s="6">
        <f t="shared" si="12"/>
        <v>-1</v>
      </c>
      <c r="Y106" s="6">
        <f t="shared" si="13"/>
        <v>-1</v>
      </c>
      <c r="Z106" s="6">
        <f t="shared" si="14"/>
        <v>-1</v>
      </c>
      <c r="AA106" s="6">
        <f t="shared" si="15"/>
        <v>-1</v>
      </c>
      <c r="AB106" s="6">
        <f t="shared" si="16"/>
        <v>-1</v>
      </c>
      <c r="AC106" s="6">
        <f t="shared" si="17"/>
        <v>-1</v>
      </c>
      <c r="AD106" s="6">
        <f t="shared" si="11"/>
        <v>-14</v>
      </c>
      <c r="AE106" s="106"/>
      <c r="AF106" s="106"/>
    </row>
    <row r="107" spans="1:32" x14ac:dyDescent="0.3">
      <c r="A107" s="126"/>
      <c r="B107" s="11" t="s">
        <v>134</v>
      </c>
      <c r="C107" s="36"/>
      <c r="D107" s="36"/>
      <c r="E107" s="39"/>
      <c r="F107" s="17"/>
      <c r="G107" s="6"/>
      <c r="H107" s="6"/>
      <c r="I107" s="15">
        <v>-1</v>
      </c>
      <c r="J107" s="15">
        <v>-1</v>
      </c>
      <c r="K107" s="15">
        <v>-1</v>
      </c>
      <c r="L107" s="15">
        <v>-1</v>
      </c>
      <c r="M107" s="15">
        <v>-1</v>
      </c>
      <c r="N107" s="15">
        <v>-1</v>
      </c>
      <c r="O107" s="2">
        <f t="shared" si="10"/>
        <v>-14</v>
      </c>
      <c r="P107" s="122"/>
      <c r="Q107" s="123"/>
      <c r="R107" s="123"/>
      <c r="S107" s="123"/>
      <c r="T107" s="123"/>
      <c r="U107" s="124"/>
      <c r="V107" s="9"/>
      <c r="W107" s="9"/>
      <c r="X107" s="6">
        <f t="shared" si="12"/>
        <v>-1</v>
      </c>
      <c r="Y107" s="6">
        <f t="shared" si="13"/>
        <v>-1</v>
      </c>
      <c r="Z107" s="6">
        <f t="shared" si="14"/>
        <v>-1</v>
      </c>
      <c r="AA107" s="6">
        <f t="shared" si="15"/>
        <v>-1</v>
      </c>
      <c r="AB107" s="6">
        <f t="shared" si="16"/>
        <v>-1</v>
      </c>
      <c r="AC107" s="6">
        <f t="shared" si="17"/>
        <v>-1</v>
      </c>
      <c r="AD107" s="6">
        <f t="shared" si="11"/>
        <v>-14</v>
      </c>
      <c r="AE107" s="106"/>
      <c r="AF107" s="106"/>
    </row>
    <row r="108" spans="1:32" x14ac:dyDescent="0.3">
      <c r="A108" s="126"/>
      <c r="B108" s="11" t="s">
        <v>135</v>
      </c>
      <c r="C108" s="36"/>
      <c r="D108" s="36"/>
      <c r="E108" s="39"/>
      <c r="F108" s="17"/>
      <c r="G108" s="6"/>
      <c r="H108" s="6"/>
      <c r="I108" s="15">
        <v>-1</v>
      </c>
      <c r="J108" s="15">
        <v>-1</v>
      </c>
      <c r="K108" s="15">
        <v>-1</v>
      </c>
      <c r="L108" s="15">
        <v>-1</v>
      </c>
      <c r="M108" s="15">
        <v>-1</v>
      </c>
      <c r="N108" s="15">
        <v>-1</v>
      </c>
      <c r="O108" s="2">
        <f t="shared" si="10"/>
        <v>-14</v>
      </c>
      <c r="P108" s="122"/>
      <c r="Q108" s="123"/>
      <c r="R108" s="123"/>
      <c r="S108" s="123"/>
      <c r="T108" s="123"/>
      <c r="U108" s="124"/>
      <c r="V108" s="9"/>
      <c r="W108" s="9"/>
      <c r="X108" s="6">
        <f t="shared" si="12"/>
        <v>-1</v>
      </c>
      <c r="Y108" s="6">
        <f t="shared" si="13"/>
        <v>-1</v>
      </c>
      <c r="Z108" s="6">
        <f t="shared" si="14"/>
        <v>-1</v>
      </c>
      <c r="AA108" s="6">
        <f t="shared" si="15"/>
        <v>-1</v>
      </c>
      <c r="AB108" s="6">
        <f t="shared" si="16"/>
        <v>-1</v>
      </c>
      <c r="AC108" s="6">
        <f t="shared" si="17"/>
        <v>-1</v>
      </c>
      <c r="AD108" s="6">
        <f t="shared" si="11"/>
        <v>-14</v>
      </c>
      <c r="AE108" s="106"/>
      <c r="AF108" s="106"/>
    </row>
    <row r="109" spans="1:32" x14ac:dyDescent="0.3">
      <c r="A109" s="126"/>
      <c r="B109" s="11" t="s">
        <v>136</v>
      </c>
      <c r="C109" s="36"/>
      <c r="D109" s="36"/>
      <c r="E109" s="39"/>
      <c r="F109" s="17"/>
      <c r="G109" s="6"/>
      <c r="H109" s="6"/>
      <c r="I109" s="15">
        <v>-1</v>
      </c>
      <c r="J109" s="15">
        <v>-1</v>
      </c>
      <c r="K109" s="15">
        <v>-1</v>
      </c>
      <c r="L109" s="15">
        <v>-1</v>
      </c>
      <c r="M109" s="15">
        <v>-1</v>
      </c>
      <c r="N109" s="15">
        <v>-1</v>
      </c>
      <c r="O109" s="2">
        <f t="shared" si="10"/>
        <v>-14</v>
      </c>
      <c r="P109" s="122"/>
      <c r="Q109" s="123"/>
      <c r="R109" s="123"/>
      <c r="S109" s="123"/>
      <c r="T109" s="123"/>
      <c r="U109" s="124"/>
      <c r="V109" s="9"/>
      <c r="W109" s="9"/>
      <c r="X109" s="6">
        <f t="shared" si="12"/>
        <v>-1</v>
      </c>
      <c r="Y109" s="6">
        <f t="shared" si="13"/>
        <v>-1</v>
      </c>
      <c r="Z109" s="6">
        <f t="shared" si="14"/>
        <v>-1</v>
      </c>
      <c r="AA109" s="6">
        <f t="shared" si="15"/>
        <v>-1</v>
      </c>
      <c r="AB109" s="6">
        <f t="shared" si="16"/>
        <v>-1</v>
      </c>
      <c r="AC109" s="6">
        <f t="shared" si="17"/>
        <v>-1</v>
      </c>
      <c r="AD109" s="6">
        <f t="shared" si="11"/>
        <v>-14</v>
      </c>
      <c r="AE109" s="106"/>
      <c r="AF109" s="106"/>
    </row>
    <row r="110" spans="1:32" x14ac:dyDescent="0.3">
      <c r="A110" s="126"/>
      <c r="B110" s="11" t="s">
        <v>137</v>
      </c>
      <c r="C110" s="36"/>
      <c r="D110" s="36"/>
      <c r="E110" s="39"/>
      <c r="F110" s="17"/>
      <c r="G110" s="6"/>
      <c r="H110" s="6"/>
      <c r="I110" s="15">
        <v>-1</v>
      </c>
      <c r="J110" s="15">
        <v>-1</v>
      </c>
      <c r="K110" s="15">
        <v>-1</v>
      </c>
      <c r="L110" s="15">
        <v>-1</v>
      </c>
      <c r="M110" s="15">
        <v>-1</v>
      </c>
      <c r="N110" s="15">
        <v>-1</v>
      </c>
      <c r="O110" s="2">
        <f t="shared" si="10"/>
        <v>-14</v>
      </c>
      <c r="P110" s="122"/>
      <c r="Q110" s="123"/>
      <c r="R110" s="123"/>
      <c r="S110" s="123"/>
      <c r="T110" s="123"/>
      <c r="U110" s="124"/>
      <c r="V110" s="9"/>
      <c r="W110" s="9"/>
      <c r="X110" s="6">
        <f t="shared" si="12"/>
        <v>-1</v>
      </c>
      <c r="Y110" s="6">
        <f t="shared" si="13"/>
        <v>-1</v>
      </c>
      <c r="Z110" s="6">
        <f t="shared" si="14"/>
        <v>-1</v>
      </c>
      <c r="AA110" s="6">
        <f t="shared" si="15"/>
        <v>-1</v>
      </c>
      <c r="AB110" s="6">
        <f t="shared" si="16"/>
        <v>-1</v>
      </c>
      <c r="AC110" s="6">
        <f t="shared" si="17"/>
        <v>-1</v>
      </c>
      <c r="AD110" s="6">
        <f t="shared" si="11"/>
        <v>-14</v>
      </c>
      <c r="AE110" s="106"/>
      <c r="AF110" s="106"/>
    </row>
    <row r="111" spans="1:32" x14ac:dyDescent="0.3">
      <c r="A111" s="126"/>
      <c r="B111" s="11" t="s">
        <v>138</v>
      </c>
      <c r="C111" s="36"/>
      <c r="D111" s="36"/>
      <c r="E111" s="39"/>
      <c r="F111" s="17"/>
      <c r="G111" s="6"/>
      <c r="H111" s="6"/>
      <c r="I111" s="15">
        <v>-1</v>
      </c>
      <c r="J111" s="15">
        <v>-1</v>
      </c>
      <c r="K111" s="15">
        <v>-1</v>
      </c>
      <c r="L111" s="15">
        <v>-1</v>
      </c>
      <c r="M111" s="15">
        <v>-1</v>
      </c>
      <c r="N111" s="15">
        <v>-1</v>
      </c>
      <c r="O111" s="2">
        <f t="shared" si="10"/>
        <v>-14</v>
      </c>
      <c r="P111" s="122"/>
      <c r="Q111" s="123"/>
      <c r="R111" s="123"/>
      <c r="S111" s="123"/>
      <c r="T111" s="123"/>
      <c r="U111" s="124"/>
      <c r="V111" s="9"/>
      <c r="W111" s="9"/>
      <c r="X111" s="6">
        <f t="shared" si="12"/>
        <v>-1</v>
      </c>
      <c r="Y111" s="6">
        <f t="shared" si="13"/>
        <v>-1</v>
      </c>
      <c r="Z111" s="6">
        <f t="shared" si="14"/>
        <v>-1</v>
      </c>
      <c r="AA111" s="6">
        <f t="shared" si="15"/>
        <v>-1</v>
      </c>
      <c r="AB111" s="6">
        <f t="shared" si="16"/>
        <v>-1</v>
      </c>
      <c r="AC111" s="6">
        <f t="shared" si="17"/>
        <v>-1</v>
      </c>
      <c r="AD111" s="6">
        <f t="shared" si="11"/>
        <v>-14</v>
      </c>
      <c r="AE111" s="106"/>
      <c r="AF111" s="106"/>
    </row>
    <row r="112" spans="1:32" x14ac:dyDescent="0.3">
      <c r="A112" s="126"/>
      <c r="B112" s="11" t="s">
        <v>139</v>
      </c>
      <c r="C112" s="36"/>
      <c r="D112" s="36"/>
      <c r="E112" s="39"/>
      <c r="F112" s="17"/>
      <c r="G112" s="6"/>
      <c r="H112" s="6"/>
      <c r="I112" s="15">
        <v>-1</v>
      </c>
      <c r="J112" s="15">
        <v>-1</v>
      </c>
      <c r="K112" s="15">
        <v>-1</v>
      </c>
      <c r="L112" s="15">
        <v>-1</v>
      </c>
      <c r="M112" s="15">
        <v>-1</v>
      </c>
      <c r="N112" s="15">
        <v>-1</v>
      </c>
      <c r="O112" s="2">
        <f t="shared" si="10"/>
        <v>-14</v>
      </c>
      <c r="P112" s="122"/>
      <c r="Q112" s="123"/>
      <c r="R112" s="123"/>
      <c r="S112" s="123"/>
      <c r="T112" s="123"/>
      <c r="U112" s="124"/>
      <c r="V112" s="9"/>
      <c r="W112" s="9"/>
      <c r="X112" s="6">
        <f t="shared" si="12"/>
        <v>-1</v>
      </c>
      <c r="Y112" s="6">
        <f t="shared" si="13"/>
        <v>-1</v>
      </c>
      <c r="Z112" s="6">
        <f t="shared" si="14"/>
        <v>-1</v>
      </c>
      <c r="AA112" s="6">
        <f t="shared" si="15"/>
        <v>-1</v>
      </c>
      <c r="AB112" s="6">
        <f t="shared" si="16"/>
        <v>-1</v>
      </c>
      <c r="AC112" s="6">
        <f t="shared" si="17"/>
        <v>-1</v>
      </c>
      <c r="AD112" s="6">
        <f t="shared" si="11"/>
        <v>-14</v>
      </c>
      <c r="AE112" s="106"/>
      <c r="AF112" s="106"/>
    </row>
    <row r="113" spans="1:32" x14ac:dyDescent="0.3">
      <c r="A113" s="126"/>
      <c r="B113" s="11" t="s">
        <v>140</v>
      </c>
      <c r="C113" s="36"/>
      <c r="D113" s="36"/>
      <c r="E113" s="39"/>
      <c r="F113" s="17"/>
      <c r="G113" s="6"/>
      <c r="H113" s="6"/>
      <c r="I113" s="15">
        <v>-1</v>
      </c>
      <c r="J113" s="15">
        <v>-1</v>
      </c>
      <c r="K113" s="15">
        <v>-1</v>
      </c>
      <c r="L113" s="15">
        <v>-1</v>
      </c>
      <c r="M113" s="15">
        <v>-1</v>
      </c>
      <c r="N113" s="15">
        <v>-1</v>
      </c>
      <c r="O113" s="2">
        <f t="shared" si="10"/>
        <v>-14</v>
      </c>
      <c r="P113" s="122"/>
      <c r="Q113" s="123"/>
      <c r="R113" s="123"/>
      <c r="S113" s="123"/>
      <c r="T113" s="123"/>
      <c r="U113" s="124"/>
      <c r="V113" s="9"/>
      <c r="W113" s="9"/>
      <c r="X113" s="6">
        <f t="shared" si="12"/>
        <v>-1</v>
      </c>
      <c r="Y113" s="6">
        <f t="shared" si="13"/>
        <v>-1</v>
      </c>
      <c r="Z113" s="6">
        <f t="shared" si="14"/>
        <v>-1</v>
      </c>
      <c r="AA113" s="6">
        <f t="shared" si="15"/>
        <v>-1</v>
      </c>
      <c r="AB113" s="6">
        <f t="shared" si="16"/>
        <v>-1</v>
      </c>
      <c r="AC113" s="6">
        <f t="shared" si="17"/>
        <v>-1</v>
      </c>
      <c r="AD113" s="6">
        <f t="shared" si="11"/>
        <v>-14</v>
      </c>
      <c r="AE113" s="106"/>
      <c r="AF113" s="106"/>
    </row>
    <row r="114" spans="1:32" x14ac:dyDescent="0.3">
      <c r="A114" s="126"/>
      <c r="B114" s="11" t="s">
        <v>141</v>
      </c>
      <c r="C114" s="36"/>
      <c r="D114" s="36"/>
      <c r="E114" s="39"/>
      <c r="F114" s="17"/>
      <c r="G114" s="6"/>
      <c r="H114" s="6"/>
      <c r="I114" s="15">
        <v>-1</v>
      </c>
      <c r="J114" s="15">
        <v>-1</v>
      </c>
      <c r="K114" s="15">
        <v>-1</v>
      </c>
      <c r="L114" s="15">
        <v>-1</v>
      </c>
      <c r="M114" s="15">
        <v>-1</v>
      </c>
      <c r="N114" s="15">
        <v>-1</v>
      </c>
      <c r="O114" s="2">
        <f t="shared" si="10"/>
        <v>-14</v>
      </c>
      <c r="P114" s="122"/>
      <c r="Q114" s="123"/>
      <c r="R114" s="123"/>
      <c r="S114" s="123"/>
      <c r="T114" s="123"/>
      <c r="U114" s="124"/>
      <c r="V114" s="9"/>
      <c r="W114" s="9"/>
      <c r="X114" s="6">
        <f t="shared" si="12"/>
        <v>-1</v>
      </c>
      <c r="Y114" s="6">
        <f t="shared" si="13"/>
        <v>-1</v>
      </c>
      <c r="Z114" s="6">
        <f t="shared" si="14"/>
        <v>-1</v>
      </c>
      <c r="AA114" s="6">
        <f t="shared" si="15"/>
        <v>-1</v>
      </c>
      <c r="AB114" s="6">
        <f t="shared" si="16"/>
        <v>-1</v>
      </c>
      <c r="AC114" s="6">
        <f t="shared" si="17"/>
        <v>-1</v>
      </c>
      <c r="AD114" s="6">
        <f t="shared" si="11"/>
        <v>-14</v>
      </c>
      <c r="AE114" s="106"/>
      <c r="AF114" s="106"/>
    </row>
    <row r="115" spans="1:32" x14ac:dyDescent="0.3">
      <c r="A115" s="126"/>
      <c r="B115" s="11" t="s">
        <v>142</v>
      </c>
      <c r="C115" s="36"/>
      <c r="D115" s="36"/>
      <c r="E115" s="39"/>
      <c r="F115" s="17"/>
      <c r="G115" s="6"/>
      <c r="H115" s="6"/>
      <c r="I115" s="15">
        <v>-1</v>
      </c>
      <c r="J115" s="15">
        <v>-1</v>
      </c>
      <c r="K115" s="15">
        <v>-1</v>
      </c>
      <c r="L115" s="15">
        <v>-1</v>
      </c>
      <c r="M115" s="15">
        <v>-1</v>
      </c>
      <c r="N115" s="15">
        <v>-1</v>
      </c>
      <c r="O115" s="2">
        <f t="shared" si="10"/>
        <v>-14</v>
      </c>
      <c r="P115" s="122"/>
      <c r="Q115" s="123"/>
      <c r="R115" s="123"/>
      <c r="S115" s="123"/>
      <c r="T115" s="123"/>
      <c r="U115" s="124"/>
      <c r="V115" s="9"/>
      <c r="W115" s="9"/>
      <c r="X115" s="6">
        <f t="shared" si="12"/>
        <v>-1</v>
      </c>
      <c r="Y115" s="6">
        <f t="shared" si="13"/>
        <v>-1</v>
      </c>
      <c r="Z115" s="6">
        <f t="shared" si="14"/>
        <v>-1</v>
      </c>
      <c r="AA115" s="6">
        <f t="shared" si="15"/>
        <v>-1</v>
      </c>
      <c r="AB115" s="6">
        <f t="shared" si="16"/>
        <v>-1</v>
      </c>
      <c r="AC115" s="6">
        <f t="shared" si="17"/>
        <v>-1</v>
      </c>
      <c r="AD115" s="6">
        <f t="shared" si="11"/>
        <v>-14</v>
      </c>
      <c r="AE115" s="106"/>
      <c r="AF115" s="106"/>
    </row>
    <row r="116" spans="1:32" x14ac:dyDescent="0.3">
      <c r="A116" s="126"/>
      <c r="B116" s="11" t="s">
        <v>143</v>
      </c>
      <c r="C116" s="36"/>
      <c r="D116" s="36"/>
      <c r="E116" s="39"/>
      <c r="F116" s="17"/>
      <c r="G116" s="6"/>
      <c r="H116" s="6"/>
      <c r="I116" s="15">
        <v>-1</v>
      </c>
      <c r="J116" s="15">
        <v>-1</v>
      </c>
      <c r="K116" s="15">
        <v>-1</v>
      </c>
      <c r="L116" s="15">
        <v>-1</v>
      </c>
      <c r="M116" s="15">
        <v>-1</v>
      </c>
      <c r="N116" s="15">
        <v>-1</v>
      </c>
      <c r="O116" s="2">
        <f t="shared" si="10"/>
        <v>-14</v>
      </c>
      <c r="P116" s="122"/>
      <c r="Q116" s="123"/>
      <c r="R116" s="123"/>
      <c r="S116" s="123"/>
      <c r="T116" s="123"/>
      <c r="U116" s="124"/>
      <c r="V116" s="9"/>
      <c r="W116" s="9"/>
      <c r="X116" s="6">
        <f t="shared" si="12"/>
        <v>-1</v>
      </c>
      <c r="Y116" s="6">
        <f t="shared" si="13"/>
        <v>-1</v>
      </c>
      <c r="Z116" s="6">
        <f t="shared" si="14"/>
        <v>-1</v>
      </c>
      <c r="AA116" s="6">
        <f t="shared" si="15"/>
        <v>-1</v>
      </c>
      <c r="AB116" s="6">
        <f t="shared" si="16"/>
        <v>-1</v>
      </c>
      <c r="AC116" s="6">
        <f t="shared" si="17"/>
        <v>-1</v>
      </c>
      <c r="AD116" s="6">
        <f t="shared" si="11"/>
        <v>-14</v>
      </c>
      <c r="AE116" s="106"/>
      <c r="AF116" s="106"/>
    </row>
    <row r="117" spans="1:32" x14ac:dyDescent="0.3">
      <c r="A117" s="126"/>
      <c r="B117" s="11" t="s">
        <v>144</v>
      </c>
      <c r="C117" s="36"/>
      <c r="D117" s="36"/>
      <c r="E117" s="39"/>
      <c r="F117" s="17"/>
      <c r="G117" s="6"/>
      <c r="H117" s="6"/>
      <c r="I117" s="15">
        <v>-1</v>
      </c>
      <c r="J117" s="15">
        <v>-1</v>
      </c>
      <c r="K117" s="15">
        <v>-1</v>
      </c>
      <c r="L117" s="15">
        <v>-1</v>
      </c>
      <c r="M117" s="15">
        <v>-1</v>
      </c>
      <c r="N117" s="15">
        <v>-1</v>
      </c>
      <c r="O117" s="2">
        <f t="shared" si="10"/>
        <v>-14</v>
      </c>
      <c r="P117" s="122"/>
      <c r="Q117" s="123"/>
      <c r="R117" s="123"/>
      <c r="S117" s="123"/>
      <c r="T117" s="123"/>
      <c r="U117" s="124"/>
      <c r="V117" s="9"/>
      <c r="W117" s="9"/>
      <c r="X117" s="6">
        <f t="shared" si="12"/>
        <v>-1</v>
      </c>
      <c r="Y117" s="6">
        <f t="shared" si="13"/>
        <v>-1</v>
      </c>
      <c r="Z117" s="6">
        <f t="shared" si="14"/>
        <v>-1</v>
      </c>
      <c r="AA117" s="6">
        <f t="shared" si="15"/>
        <v>-1</v>
      </c>
      <c r="AB117" s="6">
        <f t="shared" si="16"/>
        <v>-1</v>
      </c>
      <c r="AC117" s="6">
        <f t="shared" si="17"/>
        <v>-1</v>
      </c>
      <c r="AD117" s="6">
        <f t="shared" si="11"/>
        <v>-14</v>
      </c>
      <c r="AE117" s="106"/>
      <c r="AF117" s="106"/>
    </row>
    <row r="118" spans="1:32" x14ac:dyDescent="0.3">
      <c r="A118" s="126"/>
      <c r="B118" s="11" t="s">
        <v>145</v>
      </c>
      <c r="C118" s="47" t="s">
        <v>185</v>
      </c>
      <c r="D118" s="47" t="s">
        <v>163</v>
      </c>
      <c r="E118" s="46" t="s">
        <v>175</v>
      </c>
      <c r="F118" s="17"/>
      <c r="G118" s="6"/>
      <c r="H118" s="6"/>
      <c r="I118" s="15">
        <v>-1</v>
      </c>
      <c r="J118" s="15">
        <v>-1</v>
      </c>
      <c r="K118" s="15">
        <v>-1</v>
      </c>
      <c r="L118" s="15">
        <v>-1</v>
      </c>
      <c r="M118" s="15">
        <v>-1</v>
      </c>
      <c r="N118" s="15">
        <v>-1</v>
      </c>
      <c r="O118" s="2">
        <f t="shared" si="10"/>
        <v>-14</v>
      </c>
      <c r="P118" s="122"/>
      <c r="Q118" s="123"/>
      <c r="R118" s="123"/>
      <c r="S118" s="123"/>
      <c r="T118" s="123"/>
      <c r="U118" s="124"/>
      <c r="V118" s="9"/>
      <c r="W118" s="9"/>
      <c r="X118" s="6">
        <f t="shared" si="12"/>
        <v>-1</v>
      </c>
      <c r="Y118" s="6">
        <f t="shared" si="13"/>
        <v>-1</v>
      </c>
      <c r="Z118" s="6">
        <f t="shared" si="14"/>
        <v>-1</v>
      </c>
      <c r="AA118" s="6">
        <f t="shared" si="15"/>
        <v>-1</v>
      </c>
      <c r="AB118" s="6">
        <f t="shared" si="16"/>
        <v>-1</v>
      </c>
      <c r="AC118" s="6">
        <f t="shared" si="17"/>
        <v>-1</v>
      </c>
      <c r="AD118" s="6">
        <f t="shared" si="11"/>
        <v>-14</v>
      </c>
      <c r="AE118" s="106"/>
      <c r="AF118" s="106"/>
    </row>
    <row r="119" spans="1:32" x14ac:dyDescent="0.3">
      <c r="A119" s="126"/>
      <c r="B119" s="11" t="s">
        <v>146</v>
      </c>
      <c r="C119" s="47" t="s">
        <v>185</v>
      </c>
      <c r="D119" s="47" t="s">
        <v>163</v>
      </c>
      <c r="E119" s="46" t="s">
        <v>175</v>
      </c>
      <c r="F119" s="17"/>
      <c r="G119" s="6"/>
      <c r="H119" s="6"/>
      <c r="I119" s="15">
        <v>-1</v>
      </c>
      <c r="J119" s="15">
        <v>-1</v>
      </c>
      <c r="K119" s="15">
        <v>-1</v>
      </c>
      <c r="L119" s="15">
        <v>-1</v>
      </c>
      <c r="M119" s="15">
        <v>-1</v>
      </c>
      <c r="N119" s="15">
        <v>-1</v>
      </c>
      <c r="O119" s="2">
        <f t="shared" si="10"/>
        <v>-14</v>
      </c>
      <c r="P119" s="122"/>
      <c r="Q119" s="123"/>
      <c r="R119" s="123"/>
      <c r="S119" s="123"/>
      <c r="T119" s="123"/>
      <c r="U119" s="124"/>
      <c r="V119" s="9"/>
      <c r="W119" s="9"/>
      <c r="X119" s="6">
        <f t="shared" si="12"/>
        <v>-1</v>
      </c>
      <c r="Y119" s="6">
        <f t="shared" si="13"/>
        <v>-1</v>
      </c>
      <c r="Z119" s="6">
        <f t="shared" si="14"/>
        <v>-1</v>
      </c>
      <c r="AA119" s="6">
        <f t="shared" si="15"/>
        <v>-1</v>
      </c>
      <c r="AB119" s="6">
        <f t="shared" si="16"/>
        <v>-1</v>
      </c>
      <c r="AC119" s="6">
        <f t="shared" si="17"/>
        <v>-1</v>
      </c>
      <c r="AD119" s="6">
        <f t="shared" si="11"/>
        <v>-14</v>
      </c>
      <c r="AE119" s="106"/>
      <c r="AF119" s="106"/>
    </row>
    <row r="120" spans="1:32" ht="37.5" x14ac:dyDescent="0.3">
      <c r="A120" s="126"/>
      <c r="B120" s="118" t="s">
        <v>147</v>
      </c>
      <c r="C120" s="120" t="s">
        <v>185</v>
      </c>
      <c r="D120" s="36" t="s">
        <v>191</v>
      </c>
      <c r="E120" s="39" t="s">
        <v>197</v>
      </c>
      <c r="F120" s="17" t="s">
        <v>156</v>
      </c>
      <c r="G120" s="6" t="s">
        <v>165</v>
      </c>
      <c r="H120" s="6" t="s">
        <v>36</v>
      </c>
      <c r="I120" s="15">
        <v>-1</v>
      </c>
      <c r="J120" s="15">
        <v>-1</v>
      </c>
      <c r="K120" s="15">
        <v>-1</v>
      </c>
      <c r="L120" s="15">
        <v>-1</v>
      </c>
      <c r="M120" s="15">
        <v>-1</v>
      </c>
      <c r="N120" s="15">
        <v>-1</v>
      </c>
      <c r="O120" s="35">
        <f t="shared" si="10"/>
        <v>-14</v>
      </c>
      <c r="P120" s="37"/>
      <c r="Q120" s="38"/>
      <c r="R120" s="38"/>
      <c r="S120" s="38"/>
      <c r="T120" s="38"/>
      <c r="U120" s="24"/>
      <c r="V120" s="25"/>
      <c r="W120" s="25"/>
      <c r="X120" s="6">
        <f t="shared" si="12"/>
        <v>-1</v>
      </c>
      <c r="Y120" s="6">
        <f t="shared" si="13"/>
        <v>-1</v>
      </c>
      <c r="Z120" s="6">
        <f t="shared" si="14"/>
        <v>-1</v>
      </c>
      <c r="AA120" s="6">
        <f t="shared" si="15"/>
        <v>-1</v>
      </c>
      <c r="AB120" s="6">
        <f t="shared" si="16"/>
        <v>-1</v>
      </c>
      <c r="AC120" s="6">
        <f t="shared" si="17"/>
        <v>-1</v>
      </c>
      <c r="AD120" s="6">
        <f t="shared" si="11"/>
        <v>-14</v>
      </c>
      <c r="AE120" s="106"/>
      <c r="AF120" s="106"/>
    </row>
    <row r="121" spans="1:32" x14ac:dyDescent="0.3">
      <c r="A121" s="126"/>
      <c r="B121" s="119"/>
      <c r="C121" s="121"/>
      <c r="D121" s="36" t="s">
        <v>163</v>
      </c>
      <c r="E121" s="39" t="s">
        <v>197</v>
      </c>
      <c r="F121" s="17" t="s">
        <v>156</v>
      </c>
      <c r="G121" s="6" t="s">
        <v>165</v>
      </c>
      <c r="H121" s="6" t="s">
        <v>36</v>
      </c>
      <c r="I121" s="15">
        <v>-1</v>
      </c>
      <c r="J121" s="15">
        <v>-1</v>
      </c>
      <c r="K121" s="15">
        <v>-1</v>
      </c>
      <c r="L121" s="15">
        <v>-1</v>
      </c>
      <c r="M121" s="15">
        <v>-1</v>
      </c>
      <c r="N121" s="15">
        <v>-1</v>
      </c>
      <c r="O121" s="35">
        <f t="shared" si="10"/>
        <v>-14</v>
      </c>
      <c r="P121" s="122"/>
      <c r="Q121" s="123"/>
      <c r="R121" s="123"/>
      <c r="S121" s="123"/>
      <c r="T121" s="123"/>
      <c r="U121" s="124"/>
      <c r="V121" s="9"/>
      <c r="W121" s="9"/>
      <c r="X121" s="6">
        <f t="shared" si="12"/>
        <v>-1</v>
      </c>
      <c r="Y121" s="6">
        <f t="shared" si="13"/>
        <v>-1</v>
      </c>
      <c r="Z121" s="6">
        <f t="shared" si="14"/>
        <v>-1</v>
      </c>
      <c r="AA121" s="6">
        <f t="shared" si="15"/>
        <v>-1</v>
      </c>
      <c r="AB121" s="6">
        <f t="shared" si="16"/>
        <v>-1</v>
      </c>
      <c r="AC121" s="6">
        <f t="shared" si="17"/>
        <v>-1</v>
      </c>
      <c r="AD121" s="6">
        <f t="shared" si="11"/>
        <v>-14</v>
      </c>
      <c r="AE121" s="106"/>
      <c r="AF121" s="106"/>
    </row>
    <row r="122" spans="1:32" ht="37.5" x14ac:dyDescent="0.3">
      <c r="A122" s="126"/>
      <c r="B122" s="118" t="s">
        <v>148</v>
      </c>
      <c r="C122" s="120" t="s">
        <v>185</v>
      </c>
      <c r="D122" s="36" t="s">
        <v>191</v>
      </c>
      <c r="E122" s="39" t="s">
        <v>197</v>
      </c>
      <c r="F122" s="17" t="s">
        <v>156</v>
      </c>
      <c r="G122" s="6" t="s">
        <v>165</v>
      </c>
      <c r="H122" s="6" t="s">
        <v>36</v>
      </c>
      <c r="I122" s="15">
        <v>-1</v>
      </c>
      <c r="J122" s="15">
        <v>-1</v>
      </c>
      <c r="K122" s="15">
        <v>-1</v>
      </c>
      <c r="L122" s="15">
        <v>-1</v>
      </c>
      <c r="M122" s="15">
        <v>-1</v>
      </c>
      <c r="N122" s="15">
        <v>-1</v>
      </c>
      <c r="O122" s="35">
        <f t="shared" si="10"/>
        <v>-14</v>
      </c>
      <c r="P122" s="37"/>
      <c r="Q122" s="38"/>
      <c r="R122" s="38"/>
      <c r="S122" s="38"/>
      <c r="T122" s="38"/>
      <c r="U122" s="24"/>
      <c r="V122" s="25"/>
      <c r="W122" s="25"/>
      <c r="X122" s="6">
        <f t="shared" si="12"/>
        <v>-1</v>
      </c>
      <c r="Y122" s="6">
        <f t="shared" si="13"/>
        <v>-1</v>
      </c>
      <c r="Z122" s="6">
        <f t="shared" si="14"/>
        <v>-1</v>
      </c>
      <c r="AA122" s="6">
        <f t="shared" si="15"/>
        <v>-1</v>
      </c>
      <c r="AB122" s="6">
        <f t="shared" si="16"/>
        <v>-1</v>
      </c>
      <c r="AC122" s="6">
        <f t="shared" si="17"/>
        <v>-1</v>
      </c>
      <c r="AD122" s="6">
        <f t="shared" si="11"/>
        <v>-14</v>
      </c>
      <c r="AE122" s="106"/>
      <c r="AF122" s="106"/>
    </row>
    <row r="123" spans="1:32" x14ac:dyDescent="0.3">
      <c r="A123" s="126"/>
      <c r="B123" s="119"/>
      <c r="C123" s="121"/>
      <c r="D123" s="36" t="s">
        <v>163</v>
      </c>
      <c r="E123" s="39" t="s">
        <v>197</v>
      </c>
      <c r="F123" s="17" t="s">
        <v>156</v>
      </c>
      <c r="G123" s="6" t="s">
        <v>165</v>
      </c>
      <c r="H123" s="6" t="s">
        <v>36</v>
      </c>
      <c r="I123" s="15">
        <v>-1</v>
      </c>
      <c r="J123" s="15">
        <v>-1</v>
      </c>
      <c r="K123" s="15">
        <v>-1</v>
      </c>
      <c r="L123" s="15">
        <v>-1</v>
      </c>
      <c r="M123" s="15">
        <v>-1</v>
      </c>
      <c r="N123" s="15">
        <v>-1</v>
      </c>
      <c r="O123" s="35">
        <f t="shared" si="10"/>
        <v>-14</v>
      </c>
      <c r="P123" s="122"/>
      <c r="Q123" s="123"/>
      <c r="R123" s="123"/>
      <c r="S123" s="123"/>
      <c r="T123" s="123"/>
      <c r="U123" s="124"/>
      <c r="V123" s="9"/>
      <c r="W123" s="9"/>
      <c r="X123" s="6">
        <f t="shared" si="12"/>
        <v>-1</v>
      </c>
      <c r="Y123" s="6">
        <f t="shared" si="13"/>
        <v>-1</v>
      </c>
      <c r="Z123" s="6">
        <f t="shared" si="14"/>
        <v>-1</v>
      </c>
      <c r="AA123" s="6">
        <f t="shared" si="15"/>
        <v>-1</v>
      </c>
      <c r="AB123" s="6">
        <f t="shared" si="16"/>
        <v>-1</v>
      </c>
      <c r="AC123" s="6">
        <f t="shared" si="17"/>
        <v>-1</v>
      </c>
      <c r="AD123" s="6">
        <f t="shared" si="11"/>
        <v>-14</v>
      </c>
      <c r="AE123" s="106"/>
      <c r="AF123" s="106"/>
    </row>
    <row r="124" spans="1:32" ht="37.5" x14ac:dyDescent="0.3">
      <c r="A124" s="126"/>
      <c r="B124" s="11" t="s">
        <v>149</v>
      </c>
      <c r="C124" s="47" t="s">
        <v>185</v>
      </c>
      <c r="D124" s="36" t="s">
        <v>191</v>
      </c>
      <c r="E124" s="39" t="s">
        <v>197</v>
      </c>
      <c r="F124" s="17"/>
      <c r="G124" s="6"/>
      <c r="H124" s="6"/>
      <c r="I124" s="15">
        <v>-1</v>
      </c>
      <c r="J124" s="15">
        <v>-1</v>
      </c>
      <c r="K124" s="15">
        <v>-1</v>
      </c>
      <c r="L124" s="15">
        <v>-1</v>
      </c>
      <c r="M124" s="15">
        <v>-1</v>
      </c>
      <c r="N124" s="15">
        <v>-1</v>
      </c>
      <c r="O124" s="2">
        <f t="shared" si="10"/>
        <v>-14</v>
      </c>
      <c r="P124" s="122"/>
      <c r="Q124" s="123"/>
      <c r="R124" s="123"/>
      <c r="S124" s="123"/>
      <c r="T124" s="123"/>
      <c r="U124" s="124"/>
      <c r="V124" s="9"/>
      <c r="W124" s="9"/>
      <c r="X124" s="6">
        <f t="shared" si="12"/>
        <v>-1</v>
      </c>
      <c r="Y124" s="6">
        <f t="shared" si="13"/>
        <v>-1</v>
      </c>
      <c r="Z124" s="6">
        <f t="shared" si="14"/>
        <v>-1</v>
      </c>
      <c r="AA124" s="6">
        <f t="shared" si="15"/>
        <v>-1</v>
      </c>
      <c r="AB124" s="6">
        <f t="shared" si="16"/>
        <v>-1</v>
      </c>
      <c r="AC124" s="6">
        <f t="shared" si="17"/>
        <v>-1</v>
      </c>
      <c r="AD124" s="6">
        <f t="shared" si="11"/>
        <v>-14</v>
      </c>
      <c r="AE124" s="106"/>
      <c r="AF124" s="106"/>
    </row>
    <row r="125" spans="1:32" x14ac:dyDescent="0.3">
      <c r="A125" s="126"/>
      <c r="B125" s="11" t="s">
        <v>150</v>
      </c>
      <c r="C125" s="47" t="s">
        <v>185</v>
      </c>
      <c r="D125" s="47" t="s">
        <v>205</v>
      </c>
      <c r="E125" s="39" t="s">
        <v>206</v>
      </c>
      <c r="F125" s="17" t="s">
        <v>158</v>
      </c>
      <c r="G125" s="6"/>
      <c r="H125" s="6"/>
      <c r="I125" s="15">
        <v>-1</v>
      </c>
      <c r="J125" s="15">
        <v>-1</v>
      </c>
      <c r="K125" s="15">
        <v>-1</v>
      </c>
      <c r="L125" s="15">
        <v>-1</v>
      </c>
      <c r="M125" s="15">
        <v>-1</v>
      </c>
      <c r="N125" s="15">
        <v>-1</v>
      </c>
      <c r="O125" s="2">
        <f t="shared" si="10"/>
        <v>-14</v>
      </c>
      <c r="P125" s="122"/>
      <c r="Q125" s="123"/>
      <c r="R125" s="123"/>
      <c r="S125" s="123"/>
      <c r="T125" s="123"/>
      <c r="U125" s="124"/>
      <c r="V125" s="9"/>
      <c r="W125" s="9"/>
      <c r="X125" s="6">
        <f t="shared" si="12"/>
        <v>-1</v>
      </c>
      <c r="Y125" s="6">
        <f t="shared" si="13"/>
        <v>-1</v>
      </c>
      <c r="Z125" s="6">
        <f t="shared" si="14"/>
        <v>-1</v>
      </c>
      <c r="AA125" s="6">
        <f t="shared" si="15"/>
        <v>-1</v>
      </c>
      <c r="AB125" s="6">
        <f t="shared" si="16"/>
        <v>-1</v>
      </c>
      <c r="AC125" s="6">
        <f t="shared" si="17"/>
        <v>-1</v>
      </c>
      <c r="AD125" s="6">
        <f t="shared" si="11"/>
        <v>-14</v>
      </c>
      <c r="AE125" s="106"/>
      <c r="AF125" s="106"/>
    </row>
    <row r="126" spans="1:32" x14ac:dyDescent="0.3">
      <c r="A126" s="126"/>
      <c r="B126" s="11" t="s">
        <v>151</v>
      </c>
      <c r="C126" s="36"/>
      <c r="D126" s="36"/>
      <c r="E126" s="39"/>
      <c r="F126" s="17"/>
      <c r="G126" s="6"/>
      <c r="H126" s="6"/>
      <c r="I126" s="15">
        <v>-1</v>
      </c>
      <c r="J126" s="15">
        <v>-1</v>
      </c>
      <c r="K126" s="15">
        <v>-1</v>
      </c>
      <c r="L126" s="15">
        <v>-1</v>
      </c>
      <c r="M126" s="15">
        <v>-1</v>
      </c>
      <c r="N126" s="15">
        <v>-1</v>
      </c>
      <c r="O126" s="2">
        <f t="shared" si="10"/>
        <v>-14</v>
      </c>
      <c r="P126" s="122"/>
      <c r="Q126" s="123"/>
      <c r="R126" s="123"/>
      <c r="S126" s="123"/>
      <c r="T126" s="123"/>
      <c r="U126" s="124"/>
      <c r="V126" s="9"/>
      <c r="W126" s="9"/>
      <c r="X126" s="6">
        <f t="shared" si="12"/>
        <v>-1</v>
      </c>
      <c r="Y126" s="6">
        <f t="shared" si="13"/>
        <v>-1</v>
      </c>
      <c r="Z126" s="6">
        <f t="shared" si="14"/>
        <v>-1</v>
      </c>
      <c r="AA126" s="6">
        <f t="shared" si="15"/>
        <v>-1</v>
      </c>
      <c r="AB126" s="6">
        <f t="shared" si="16"/>
        <v>-1</v>
      </c>
      <c r="AC126" s="6">
        <f t="shared" si="17"/>
        <v>-1</v>
      </c>
      <c r="AD126" s="6">
        <f t="shared" si="11"/>
        <v>-14</v>
      </c>
      <c r="AE126" s="106"/>
      <c r="AF126" s="106"/>
    </row>
    <row r="127" spans="1:32" x14ac:dyDescent="0.3">
      <c r="A127" s="126"/>
      <c r="B127" s="11" t="s">
        <v>152</v>
      </c>
      <c r="C127" s="36"/>
      <c r="D127" s="36"/>
      <c r="E127" s="39"/>
      <c r="F127" s="17"/>
      <c r="G127" s="6"/>
      <c r="H127" s="6"/>
      <c r="I127" s="15">
        <v>-1</v>
      </c>
      <c r="J127" s="15">
        <v>-1</v>
      </c>
      <c r="K127" s="15">
        <v>-1</v>
      </c>
      <c r="L127" s="15">
        <v>-1</v>
      </c>
      <c r="M127" s="15">
        <v>-1</v>
      </c>
      <c r="N127" s="15">
        <v>-1</v>
      </c>
      <c r="O127" s="2">
        <f t="shared" si="10"/>
        <v>-14</v>
      </c>
      <c r="P127" s="122"/>
      <c r="Q127" s="123"/>
      <c r="R127" s="123"/>
      <c r="S127" s="123"/>
      <c r="T127" s="123"/>
      <c r="U127" s="124"/>
      <c r="V127" s="9"/>
      <c r="W127" s="9"/>
      <c r="X127" s="6">
        <f t="shared" si="12"/>
        <v>-1</v>
      </c>
      <c r="Y127" s="6">
        <f t="shared" si="13"/>
        <v>-1</v>
      </c>
      <c r="Z127" s="6">
        <f t="shared" si="14"/>
        <v>-1</v>
      </c>
      <c r="AA127" s="6">
        <f t="shared" si="15"/>
        <v>-1</v>
      </c>
      <c r="AB127" s="6">
        <f t="shared" si="16"/>
        <v>-1</v>
      </c>
      <c r="AC127" s="6">
        <f t="shared" si="17"/>
        <v>-1</v>
      </c>
      <c r="AD127" s="6">
        <f t="shared" si="11"/>
        <v>-14</v>
      </c>
      <c r="AE127" s="106"/>
      <c r="AF127" s="106"/>
    </row>
    <row r="128" spans="1:32" x14ac:dyDescent="0.3">
      <c r="A128" s="126"/>
      <c r="B128" s="11" t="s">
        <v>153</v>
      </c>
      <c r="C128" s="36"/>
      <c r="D128" s="36"/>
      <c r="E128" s="39"/>
      <c r="F128" s="17"/>
      <c r="G128" s="6"/>
      <c r="H128" s="6"/>
      <c r="I128" s="15">
        <v>-1</v>
      </c>
      <c r="J128" s="15">
        <v>-1</v>
      </c>
      <c r="K128" s="15">
        <v>-1</v>
      </c>
      <c r="L128" s="15">
        <v>-1</v>
      </c>
      <c r="M128" s="15">
        <v>-1</v>
      </c>
      <c r="N128" s="15">
        <v>-1</v>
      </c>
      <c r="O128" s="2">
        <f t="shared" si="10"/>
        <v>-14</v>
      </c>
      <c r="P128" s="122"/>
      <c r="Q128" s="123"/>
      <c r="R128" s="123"/>
      <c r="S128" s="123"/>
      <c r="T128" s="123"/>
      <c r="U128" s="124"/>
      <c r="V128" s="9"/>
      <c r="W128" s="9"/>
      <c r="X128" s="6">
        <f t="shared" si="12"/>
        <v>-1</v>
      </c>
      <c r="Y128" s="6">
        <f t="shared" si="13"/>
        <v>-1</v>
      </c>
      <c r="Z128" s="6">
        <f t="shared" si="14"/>
        <v>-1</v>
      </c>
      <c r="AA128" s="6">
        <f t="shared" si="15"/>
        <v>-1</v>
      </c>
      <c r="AB128" s="6">
        <f t="shared" si="16"/>
        <v>-1</v>
      </c>
      <c r="AC128" s="6">
        <f t="shared" si="17"/>
        <v>-1</v>
      </c>
      <c r="AD128" s="6">
        <f t="shared" si="11"/>
        <v>-14</v>
      </c>
      <c r="AE128" s="106"/>
      <c r="AF128" s="106"/>
    </row>
    <row r="129" spans="1:32" x14ac:dyDescent="0.3">
      <c r="A129" s="126"/>
      <c r="B129" s="11" t="s">
        <v>154</v>
      </c>
      <c r="C129" s="36"/>
      <c r="D129" s="36"/>
      <c r="E129" s="39"/>
      <c r="F129" s="17"/>
      <c r="G129" s="6"/>
      <c r="H129" s="6"/>
      <c r="I129" s="15">
        <v>-1</v>
      </c>
      <c r="J129" s="15">
        <v>-1</v>
      </c>
      <c r="K129" s="15">
        <v>-1</v>
      </c>
      <c r="L129" s="15">
        <v>-1</v>
      </c>
      <c r="M129" s="15">
        <v>-1</v>
      </c>
      <c r="N129" s="15">
        <v>-1</v>
      </c>
      <c r="O129" s="2">
        <f t="shared" si="10"/>
        <v>-14</v>
      </c>
      <c r="P129" s="122"/>
      <c r="Q129" s="123"/>
      <c r="R129" s="123"/>
      <c r="S129" s="123"/>
      <c r="T129" s="123"/>
      <c r="U129" s="124"/>
      <c r="V129" s="9"/>
      <c r="W129" s="9"/>
      <c r="X129" s="6">
        <f t="shared" si="12"/>
        <v>-1</v>
      </c>
      <c r="Y129" s="6">
        <f t="shared" si="13"/>
        <v>-1</v>
      </c>
      <c r="Z129" s="6">
        <f t="shared" si="14"/>
        <v>-1</v>
      </c>
      <c r="AA129" s="6">
        <f t="shared" si="15"/>
        <v>-1</v>
      </c>
      <c r="AB129" s="6">
        <f t="shared" si="16"/>
        <v>-1</v>
      </c>
      <c r="AC129" s="6">
        <f t="shared" si="17"/>
        <v>-1</v>
      </c>
      <c r="AD129" s="6">
        <f t="shared" si="11"/>
        <v>-14</v>
      </c>
      <c r="AE129" s="106"/>
      <c r="AF129" s="106"/>
    </row>
    <row r="130" spans="1:32" ht="37.5" x14ac:dyDescent="0.3">
      <c r="A130" s="127"/>
      <c r="B130" s="11" t="s">
        <v>155</v>
      </c>
      <c r="C130" s="25" t="s">
        <v>185</v>
      </c>
      <c r="D130" s="36" t="s">
        <v>191</v>
      </c>
      <c r="E130" s="39" t="s">
        <v>190</v>
      </c>
      <c r="F130" s="17" t="s">
        <v>156</v>
      </c>
      <c r="G130" s="6" t="s">
        <v>165</v>
      </c>
      <c r="H130" s="6" t="s">
        <v>36</v>
      </c>
      <c r="I130" s="15">
        <v>-1</v>
      </c>
      <c r="J130" s="15">
        <v>-1</v>
      </c>
      <c r="K130" s="15">
        <v>-1</v>
      </c>
      <c r="L130" s="15">
        <v>-1</v>
      </c>
      <c r="M130" s="15">
        <v>-1</v>
      </c>
      <c r="N130" s="15">
        <v>-1</v>
      </c>
      <c r="O130" s="2">
        <f t="shared" si="10"/>
        <v>-14</v>
      </c>
      <c r="P130" s="122"/>
      <c r="Q130" s="123"/>
      <c r="R130" s="123"/>
      <c r="S130" s="123"/>
      <c r="T130" s="123"/>
      <c r="U130" s="124"/>
      <c r="V130" s="9"/>
      <c r="W130" s="9"/>
      <c r="X130" s="6">
        <f t="shared" si="12"/>
        <v>-1</v>
      </c>
      <c r="Y130" s="6">
        <f t="shared" si="13"/>
        <v>-1</v>
      </c>
      <c r="Z130" s="6">
        <f t="shared" si="14"/>
        <v>-1</v>
      </c>
      <c r="AA130" s="6">
        <f t="shared" si="15"/>
        <v>-1</v>
      </c>
      <c r="AB130" s="6">
        <f t="shared" si="16"/>
        <v>-1</v>
      </c>
      <c r="AC130" s="6">
        <f t="shared" si="17"/>
        <v>-1</v>
      </c>
      <c r="AD130" s="6">
        <f t="shared" si="11"/>
        <v>-14</v>
      </c>
      <c r="AE130" s="106"/>
      <c r="AF130" s="106"/>
    </row>
    <row r="131" spans="1:32" x14ac:dyDescent="0.3">
      <c r="B131" s="1" t="s">
        <v>203</v>
      </c>
      <c r="C131" s="49" t="s">
        <v>202</v>
      </c>
      <c r="D131" s="1" t="s">
        <v>204</v>
      </c>
    </row>
  </sheetData>
  <mergeCells count="278">
    <mergeCell ref="P112:U112"/>
    <mergeCell ref="P113:U113"/>
    <mergeCell ref="P114:U114"/>
    <mergeCell ref="P115:U115"/>
    <mergeCell ref="P116:U116"/>
    <mergeCell ref="P107:U107"/>
    <mergeCell ref="P108:U108"/>
    <mergeCell ref="P109:U109"/>
    <mergeCell ref="P129:U129"/>
    <mergeCell ref="P110:U110"/>
    <mergeCell ref="P111:U111"/>
    <mergeCell ref="P130:U130"/>
    <mergeCell ref="P124:U124"/>
    <mergeCell ref="P125:U125"/>
    <mergeCell ref="P126:U126"/>
    <mergeCell ref="P127:U127"/>
    <mergeCell ref="P128:U128"/>
    <mergeCell ref="P117:U117"/>
    <mergeCell ref="P118:U118"/>
    <mergeCell ref="P119:U119"/>
    <mergeCell ref="P121:U121"/>
    <mergeCell ref="P123:U123"/>
    <mergeCell ref="P102:U102"/>
    <mergeCell ref="P103:U103"/>
    <mergeCell ref="P104:U104"/>
    <mergeCell ref="P105:U105"/>
    <mergeCell ref="P106:U106"/>
    <mergeCell ref="P97:U97"/>
    <mergeCell ref="P98:U98"/>
    <mergeCell ref="P99:U99"/>
    <mergeCell ref="P100:U100"/>
    <mergeCell ref="P101:U101"/>
    <mergeCell ref="P92:U92"/>
    <mergeCell ref="P93:U93"/>
    <mergeCell ref="P94:U94"/>
    <mergeCell ref="P95:U95"/>
    <mergeCell ref="P96:U96"/>
    <mergeCell ref="P87:U87"/>
    <mergeCell ref="P88:U88"/>
    <mergeCell ref="P89:U89"/>
    <mergeCell ref="P90:U90"/>
    <mergeCell ref="P91:U91"/>
    <mergeCell ref="P82:U82"/>
    <mergeCell ref="P83:U83"/>
    <mergeCell ref="P84:U84"/>
    <mergeCell ref="P85:U85"/>
    <mergeCell ref="P86:U86"/>
    <mergeCell ref="P77:U77"/>
    <mergeCell ref="P78:U78"/>
    <mergeCell ref="P79:U79"/>
    <mergeCell ref="P80:U80"/>
    <mergeCell ref="P81:U81"/>
    <mergeCell ref="P73:U73"/>
    <mergeCell ref="P74:U74"/>
    <mergeCell ref="P75:U75"/>
    <mergeCell ref="P76:U76"/>
    <mergeCell ref="P67:U67"/>
    <mergeCell ref="P68:U68"/>
    <mergeCell ref="P69:U69"/>
    <mergeCell ref="P70:U70"/>
    <mergeCell ref="P71:U71"/>
    <mergeCell ref="P13:U13"/>
    <mergeCell ref="P14:U14"/>
    <mergeCell ref="U5:W5"/>
    <mergeCell ref="C8:C9"/>
    <mergeCell ref="D8:D9"/>
    <mergeCell ref="E8:E9"/>
    <mergeCell ref="O6:P6"/>
    <mergeCell ref="O5:P5"/>
    <mergeCell ref="O4:P4"/>
    <mergeCell ref="B4:F6"/>
    <mergeCell ref="B8:B9"/>
    <mergeCell ref="B12:B13"/>
    <mergeCell ref="C12:C13"/>
    <mergeCell ref="D12:D13"/>
    <mergeCell ref="E12:E13"/>
    <mergeCell ref="B10:B11"/>
    <mergeCell ref="C10:C11"/>
    <mergeCell ref="D10:D11"/>
    <mergeCell ref="E10:E11"/>
    <mergeCell ref="Q6:W6"/>
    <mergeCell ref="A8:A130"/>
    <mergeCell ref="P8:U8"/>
    <mergeCell ref="P11:U11"/>
    <mergeCell ref="P16:U16"/>
    <mergeCell ref="P18:U18"/>
    <mergeCell ref="P20:U20"/>
    <mergeCell ref="P21:U21"/>
    <mergeCell ref="P22:U22"/>
    <mergeCell ref="P23:U23"/>
    <mergeCell ref="P24:U24"/>
    <mergeCell ref="P25:U25"/>
    <mergeCell ref="P27:U27"/>
    <mergeCell ref="P28:U28"/>
    <mergeCell ref="P29:U29"/>
    <mergeCell ref="P30:U30"/>
    <mergeCell ref="P31:U31"/>
    <mergeCell ref="P32:U32"/>
    <mergeCell ref="P33:U33"/>
    <mergeCell ref="P35:U35"/>
    <mergeCell ref="P36:U36"/>
    <mergeCell ref="P37:U37"/>
    <mergeCell ref="P38:U38"/>
    <mergeCell ref="P39:U39"/>
    <mergeCell ref="P72:U72"/>
    <mergeCell ref="P40:U40"/>
    <mergeCell ref="P41:U41"/>
    <mergeCell ref="P42:U42"/>
    <mergeCell ref="P43:U43"/>
    <mergeCell ref="P44:U44"/>
    <mergeCell ref="P45:U45"/>
    <mergeCell ref="P46:U46"/>
    <mergeCell ref="P47:U47"/>
    <mergeCell ref="P48:U48"/>
    <mergeCell ref="P49:U49"/>
    <mergeCell ref="P50:U50"/>
    <mergeCell ref="P51:U51"/>
    <mergeCell ref="P52:U52"/>
    <mergeCell ref="P53:U53"/>
    <mergeCell ref="P54:U54"/>
    <mergeCell ref="P55:U55"/>
    <mergeCell ref="P56:U56"/>
    <mergeCell ref="P57:U57"/>
    <mergeCell ref="P58:U58"/>
    <mergeCell ref="P59:U59"/>
    <mergeCell ref="P60:U60"/>
    <mergeCell ref="P61:U61"/>
    <mergeCell ref="P62:U62"/>
    <mergeCell ref="P63:U63"/>
    <mergeCell ref="P64:U64"/>
    <mergeCell ref="P65:U65"/>
    <mergeCell ref="P66:U66"/>
    <mergeCell ref="B120:B121"/>
    <mergeCell ref="C120:C121"/>
    <mergeCell ref="C122:C123"/>
    <mergeCell ref="B122:B123"/>
    <mergeCell ref="B15:B16"/>
    <mergeCell ref="C15:C16"/>
    <mergeCell ref="D15:D16"/>
    <mergeCell ref="E15:E16"/>
    <mergeCell ref="B17:B18"/>
    <mergeCell ref="C17:C18"/>
    <mergeCell ref="D17:D18"/>
    <mergeCell ref="E17:E18"/>
    <mergeCell ref="B19:B20"/>
    <mergeCell ref="C19:C20"/>
    <mergeCell ref="D19:D20"/>
    <mergeCell ref="E19:E20"/>
    <mergeCell ref="O2:W2"/>
    <mergeCell ref="U4:W4"/>
    <mergeCell ref="Q4:T4"/>
    <mergeCell ref="Q5:T5"/>
    <mergeCell ref="AE7:AF7"/>
    <mergeCell ref="AE8:AF8"/>
    <mergeCell ref="AE9:AF9"/>
    <mergeCell ref="AE10:AF10"/>
    <mergeCell ref="AE11:AF11"/>
    <mergeCell ref="P7:U7"/>
    <mergeCell ref="AE12:AF12"/>
    <mergeCell ref="AE13:AF13"/>
    <mergeCell ref="AE14:AF14"/>
    <mergeCell ref="AE15:AF15"/>
    <mergeCell ref="AE16:AF16"/>
    <mergeCell ref="AE17:AF17"/>
    <mergeCell ref="AE18:AF18"/>
    <mergeCell ref="AE19:AF19"/>
    <mergeCell ref="AE20:AF20"/>
    <mergeCell ref="AE21:AF21"/>
    <mergeCell ref="AE22:AF22"/>
    <mergeCell ref="AE23:AF23"/>
    <mergeCell ref="AE24:AF24"/>
    <mergeCell ref="AE25:AF25"/>
    <mergeCell ref="AE26:AF26"/>
    <mergeCell ref="AE27:AF27"/>
    <mergeCell ref="AE28:AF28"/>
    <mergeCell ref="AE29:AF29"/>
    <mergeCell ref="AE30:AF30"/>
    <mergeCell ref="AE31:AF31"/>
    <mergeCell ref="AE32:AF32"/>
    <mergeCell ref="AE33:AF33"/>
    <mergeCell ref="AE34:AF34"/>
    <mergeCell ref="AE35:AF35"/>
    <mergeCell ref="AE36:AF36"/>
    <mergeCell ref="AE37:AF37"/>
    <mergeCell ref="AE38:AF38"/>
    <mergeCell ref="AE39:AF39"/>
    <mergeCell ref="AE40:AF40"/>
    <mergeCell ref="AE41:AF41"/>
    <mergeCell ref="AE42:AF42"/>
    <mergeCell ref="AE43:AF43"/>
    <mergeCell ref="AE44:AF44"/>
    <mergeCell ref="AE45:AF45"/>
    <mergeCell ref="AE46:AF46"/>
    <mergeCell ref="AE47:AF47"/>
    <mergeCell ref="AE48:AF48"/>
    <mergeCell ref="AE49:AF49"/>
    <mergeCell ref="AE50:AF50"/>
    <mergeCell ref="AE51:AF51"/>
    <mergeCell ref="AE52:AF52"/>
    <mergeCell ref="AE53:AF53"/>
    <mergeCell ref="AE54:AF54"/>
    <mergeCell ref="AE55:AF55"/>
    <mergeCell ref="AE56:AF56"/>
    <mergeCell ref="AE57:AF57"/>
    <mergeCell ref="AE58:AF58"/>
    <mergeCell ref="AE59:AF59"/>
    <mergeCell ref="AE60:AF60"/>
    <mergeCell ref="AE61:AF61"/>
    <mergeCell ref="AE62:AF62"/>
    <mergeCell ref="AE63:AF63"/>
    <mergeCell ref="AE64:AF64"/>
    <mergeCell ref="AE65:AF65"/>
    <mergeCell ref="AE66:AF66"/>
    <mergeCell ref="AE67:AF67"/>
    <mergeCell ref="AE68:AF68"/>
    <mergeCell ref="AE69:AF69"/>
    <mergeCell ref="AE70:AF70"/>
    <mergeCell ref="AE71:AF71"/>
    <mergeCell ref="AE72:AF72"/>
    <mergeCell ref="AE73:AF73"/>
    <mergeCell ref="AE74:AF74"/>
    <mergeCell ref="AE75:AF75"/>
    <mergeCell ref="AE76:AF76"/>
    <mergeCell ref="AE77:AF77"/>
    <mergeCell ref="AE78:AF78"/>
    <mergeCell ref="AE79:AF79"/>
    <mergeCell ref="AE80:AF80"/>
    <mergeCell ref="AE81:AF81"/>
    <mergeCell ref="AE82:AF82"/>
    <mergeCell ref="AE83:AF83"/>
    <mergeCell ref="AE84:AF84"/>
    <mergeCell ref="AE85:AF85"/>
    <mergeCell ref="AE86:AF86"/>
    <mergeCell ref="AE87:AF87"/>
    <mergeCell ref="AE88:AF88"/>
    <mergeCell ref="AE89:AF89"/>
    <mergeCell ref="AE90:AF90"/>
    <mergeCell ref="AE91:AF91"/>
    <mergeCell ref="AE92:AF92"/>
    <mergeCell ref="AE105:AF105"/>
    <mergeCell ref="AE106:AF106"/>
    <mergeCell ref="AE107:AF107"/>
    <mergeCell ref="AE108:AF108"/>
    <mergeCell ref="AE109:AF109"/>
    <mergeCell ref="AE110:AF110"/>
    <mergeCell ref="AE93:AF93"/>
    <mergeCell ref="AE94:AF94"/>
    <mergeCell ref="AE95:AF95"/>
    <mergeCell ref="AE96:AF96"/>
    <mergeCell ref="AE97:AF97"/>
    <mergeCell ref="AE98:AF98"/>
    <mergeCell ref="AE99:AF99"/>
    <mergeCell ref="AE100:AF100"/>
    <mergeCell ref="AE101:AF101"/>
    <mergeCell ref="AE129:AF129"/>
    <mergeCell ref="AE130:AF130"/>
    <mergeCell ref="X6:AF6"/>
    <mergeCell ref="AE120:AF120"/>
    <mergeCell ref="AE121:AF121"/>
    <mergeCell ref="AE122:AF122"/>
    <mergeCell ref="AE123:AF123"/>
    <mergeCell ref="AE124:AF124"/>
    <mergeCell ref="AE125:AF125"/>
    <mergeCell ref="AE126:AF126"/>
    <mergeCell ref="AE127:AF127"/>
    <mergeCell ref="AE128:AF128"/>
    <mergeCell ref="AE111:AF111"/>
    <mergeCell ref="AE112:AF112"/>
    <mergeCell ref="AE113:AF113"/>
    <mergeCell ref="AE114:AF114"/>
    <mergeCell ref="AE115:AF115"/>
    <mergeCell ref="AE116:AF116"/>
    <mergeCell ref="AE117:AF117"/>
    <mergeCell ref="AE118:AF118"/>
    <mergeCell ref="AE119:AF119"/>
    <mergeCell ref="AE102:AF102"/>
    <mergeCell ref="AE103:AF103"/>
    <mergeCell ref="AE104:AF104"/>
  </mergeCells>
  <conditionalFormatting sqref="O8:O130">
    <cfRule type="cellIs" dxfId="5" priority="4" operator="greaterThan">
      <formula>-1</formula>
    </cfRule>
    <cfRule type="cellIs" dxfId="4" priority="5" stopIfTrue="1" operator="between">
      <formula>-3</formula>
      <formula>0</formula>
    </cfRule>
    <cfRule type="cellIs" dxfId="3" priority="6" operator="lessThan">
      <formula>-3</formula>
    </cfRule>
  </conditionalFormatting>
  <conditionalFormatting sqref="AD8:AD130">
    <cfRule type="cellIs" dxfId="2" priority="1" operator="greaterThan">
      <formula>-2</formula>
    </cfRule>
    <cfRule type="cellIs" dxfId="1" priority="2" stopIfTrue="1" operator="between">
      <formula>-2</formula>
      <formula>-1</formula>
    </cfRule>
    <cfRule type="cellIs" dxfId="0" priority="3" operator="lessThan">
      <formula>-2</formula>
    </cfRule>
  </conditionalFormatting>
  <dataValidations count="4">
    <dataValidation type="list" allowBlank="1" showInputMessage="1" showErrorMessage="1" sqref="F8:F130" xr:uid="{00000000-0002-0000-0000-000000000000}">
      <formula1>$B$1:$B$3</formula1>
    </dataValidation>
    <dataValidation type="list" allowBlank="1" showInputMessage="1" showErrorMessage="1" sqref="H8:H130" xr:uid="{00000000-0002-0000-0000-000001000000}">
      <formula1>$C$1:$C$3</formula1>
    </dataValidation>
    <dataValidation type="list" allowBlank="1" showInputMessage="1" showErrorMessage="1" sqref="I8:N130" xr:uid="{00000000-0002-0000-0000-000003000000}">
      <formula1>$G$4:$G$6</formula1>
    </dataValidation>
    <dataValidation type="list" allowBlank="1" showInputMessage="1" showErrorMessage="1" sqref="G8:G130" xr:uid="{00000000-0002-0000-0000-000004000000}">
      <formula1>$D$1:$D$2</formula1>
    </dataValidation>
  </dataValidations>
  <pageMargins left="0.25" right="0.25" top="0.75" bottom="0.75" header="0.3" footer="0.3"/>
  <pageSetup paperSize="8" scale="41" fitToHeight="0"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OPPERET</vt:lpstr>
      <vt:lpstr>Risk maanagement</vt:lpstr>
    </vt:vector>
  </TitlesOfParts>
  <Company>Zimmer Europe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Germa</dc:creator>
  <cp:lastModifiedBy>morgan Germa Colliou</cp:lastModifiedBy>
  <cp:lastPrinted>2016-06-15T07:26:48Z</cp:lastPrinted>
  <dcterms:created xsi:type="dcterms:W3CDTF">2016-06-09T08:05:40Z</dcterms:created>
  <dcterms:modified xsi:type="dcterms:W3CDTF">2025-11-17T09:13:54Z</dcterms:modified>
</cp:coreProperties>
</file>