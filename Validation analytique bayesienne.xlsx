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C70F0ABC-E5EB-41FC-83B4-20DEFE495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égression bayésien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6" i="1" l="1"/>
  <c r="V35" i="1"/>
  <c r="U36" i="1"/>
  <c r="U35" i="1"/>
  <c r="T36" i="1"/>
  <c r="T35" i="1"/>
  <c r="F28" i="1"/>
  <c r="T28" i="1"/>
  <c r="T27" i="1"/>
  <c r="T26" i="1"/>
  <c r="T24" i="1"/>
  <c r="T23" i="1"/>
  <c r="T19" i="1"/>
  <c r="T18" i="1"/>
  <c r="G26" i="1" l="1"/>
  <c r="U31" i="1" s="1"/>
  <c r="H26" i="1"/>
  <c r="V31" i="1" s="1"/>
  <c r="F26" i="1"/>
  <c r="T31" i="1" s="1"/>
  <c r="F27" i="1"/>
  <c r="T32" i="1" s="1"/>
  <c r="T34" i="1" s="1"/>
  <c r="K27" i="1"/>
  <c r="J27" i="1" l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52" i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J77" i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H27" i="1"/>
  <c r="V32" i="1" s="1"/>
  <c r="V34" i="1" s="1"/>
  <c r="G27" i="1"/>
  <c r="U32" i="1" s="1"/>
  <c r="U34" i="1" s="1"/>
  <c r="G28" i="1"/>
  <c r="H28" i="1"/>
  <c r="N15" i="1" l="1"/>
  <c r="N14" i="1"/>
  <c r="N18" i="1"/>
  <c r="J28" i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25" i="1" l="1"/>
  <c r="N17" i="1"/>
  <c r="J15" i="1" a="1"/>
  <c r="K19" i="1" s="1"/>
  <c r="K17" i="1" l="1"/>
  <c r="K15" i="1"/>
  <c r="J18" i="1"/>
  <c r="K18" i="1"/>
  <c r="J15" i="1"/>
  <c r="L56" i="1" s="1"/>
  <c r="K16" i="1"/>
  <c r="J19" i="1"/>
  <c r="J16" i="1"/>
  <c r="J17" i="1"/>
  <c r="M56" i="1" l="1"/>
  <c r="O56" i="1"/>
  <c r="N56" i="1"/>
  <c r="L89" i="1"/>
  <c r="L31" i="1"/>
  <c r="L27" i="1"/>
  <c r="L40" i="1"/>
  <c r="L46" i="1"/>
  <c r="L98" i="1"/>
  <c r="J23" i="1"/>
  <c r="I23" i="1"/>
  <c r="J22" i="1"/>
  <c r="I22" i="1"/>
  <c r="L38" i="1"/>
  <c r="L33" i="1"/>
  <c r="L88" i="1"/>
  <c r="L63" i="1"/>
  <c r="L100" i="1"/>
  <c r="L36" i="1"/>
  <c r="L79" i="1"/>
  <c r="L54" i="1"/>
  <c r="L41" i="1"/>
  <c r="L70" i="1"/>
  <c r="L57" i="1"/>
  <c r="L92" i="1"/>
  <c r="L73" i="1"/>
  <c r="L90" i="1"/>
  <c r="M27" i="1"/>
  <c r="L97" i="1"/>
  <c r="L37" i="1"/>
  <c r="L34" i="1"/>
  <c r="L52" i="1"/>
  <c r="L78" i="1"/>
  <c r="L67" i="1"/>
  <c r="L50" i="1"/>
  <c r="L80" i="1"/>
  <c r="L93" i="1"/>
  <c r="L87" i="1"/>
  <c r="L48" i="1"/>
  <c r="L74" i="1"/>
  <c r="L85" i="1"/>
  <c r="L99" i="1"/>
  <c r="L76" i="1"/>
  <c r="L53" i="1"/>
  <c r="L77" i="1"/>
  <c r="L84" i="1"/>
  <c r="L95" i="1"/>
  <c r="L28" i="1"/>
  <c r="L86" i="1"/>
  <c r="L68" i="1"/>
  <c r="L47" i="1"/>
  <c r="L83" i="1"/>
  <c r="L65" i="1"/>
  <c r="L64" i="1"/>
  <c r="L61" i="1"/>
  <c r="L29" i="1"/>
  <c r="L59" i="1"/>
  <c r="L49" i="1"/>
  <c r="L44" i="1"/>
  <c r="L39" i="1"/>
  <c r="L66" i="1"/>
  <c r="L91" i="1"/>
  <c r="L51" i="1"/>
  <c r="L62" i="1"/>
  <c r="L71" i="1"/>
  <c r="L101" i="1"/>
  <c r="L60" i="1"/>
  <c r="L82" i="1"/>
  <c r="L75" i="1"/>
  <c r="L35" i="1"/>
  <c r="L30" i="1"/>
  <c r="L81" i="1"/>
  <c r="L72" i="1"/>
  <c r="L55" i="1"/>
  <c r="L69" i="1"/>
  <c r="L96" i="1"/>
  <c r="L58" i="1"/>
  <c r="L43" i="1"/>
  <c r="L94" i="1"/>
  <c r="L42" i="1"/>
  <c r="L45" i="1"/>
  <c r="L32" i="1"/>
  <c r="M58" i="1" l="1"/>
  <c r="N58" i="1"/>
  <c r="O58" i="1"/>
  <c r="M75" i="1"/>
  <c r="N75" i="1"/>
  <c r="O75" i="1"/>
  <c r="M66" i="1"/>
  <c r="N66" i="1"/>
  <c r="O66" i="1"/>
  <c r="M65" i="1"/>
  <c r="N65" i="1"/>
  <c r="O65" i="1"/>
  <c r="M85" i="1"/>
  <c r="N85" i="1"/>
  <c r="O85" i="1"/>
  <c r="M97" i="1"/>
  <c r="N97" i="1"/>
  <c r="O97" i="1"/>
  <c r="M63" i="1"/>
  <c r="N63" i="1"/>
  <c r="O63" i="1"/>
  <c r="M46" i="1"/>
  <c r="N46" i="1"/>
  <c r="O46" i="1"/>
  <c r="M45" i="1"/>
  <c r="N45" i="1"/>
  <c r="O45" i="1"/>
  <c r="M72" i="1"/>
  <c r="O72" i="1"/>
  <c r="N72" i="1"/>
  <c r="M71" i="1"/>
  <c r="N71" i="1"/>
  <c r="O71" i="1"/>
  <c r="M59" i="1"/>
  <c r="N59" i="1"/>
  <c r="O59" i="1"/>
  <c r="M86" i="1"/>
  <c r="N86" i="1"/>
  <c r="O86" i="1"/>
  <c r="M77" i="1"/>
  <c r="N77" i="1"/>
  <c r="O77" i="1"/>
  <c r="M93" i="1"/>
  <c r="N93" i="1"/>
  <c r="O93" i="1"/>
  <c r="M78" i="1"/>
  <c r="N78" i="1"/>
  <c r="O78" i="1"/>
  <c r="M92" i="1"/>
  <c r="O92" i="1"/>
  <c r="N92" i="1"/>
  <c r="M54" i="1"/>
  <c r="O54" i="1"/>
  <c r="N54" i="1"/>
  <c r="M40" i="1"/>
  <c r="O40" i="1"/>
  <c r="N40" i="1"/>
  <c r="O27" i="1"/>
  <c r="N27" i="1"/>
  <c r="M98" i="1"/>
  <c r="N98" i="1"/>
  <c r="O98" i="1"/>
  <c r="M89" i="1"/>
  <c r="N89" i="1"/>
  <c r="O89" i="1"/>
  <c r="M42" i="1"/>
  <c r="N42" i="1"/>
  <c r="O42" i="1"/>
  <c r="M96" i="1"/>
  <c r="O96" i="1"/>
  <c r="N96" i="1"/>
  <c r="M81" i="1"/>
  <c r="N81" i="1"/>
  <c r="O81" i="1"/>
  <c r="M82" i="1"/>
  <c r="O82" i="1"/>
  <c r="N82" i="1"/>
  <c r="M62" i="1"/>
  <c r="N62" i="1"/>
  <c r="O62" i="1"/>
  <c r="M39" i="1"/>
  <c r="N39" i="1"/>
  <c r="O39" i="1"/>
  <c r="M29" i="1"/>
  <c r="N29" i="1"/>
  <c r="O29" i="1"/>
  <c r="M83" i="1"/>
  <c r="N83" i="1"/>
  <c r="O83" i="1"/>
  <c r="M28" i="1"/>
  <c r="O28" i="1"/>
  <c r="N28" i="1"/>
  <c r="M53" i="1"/>
  <c r="N53" i="1"/>
  <c r="O53" i="1"/>
  <c r="M74" i="1"/>
  <c r="N74" i="1"/>
  <c r="O74" i="1"/>
  <c r="M80" i="1"/>
  <c r="O80" i="1"/>
  <c r="N80" i="1"/>
  <c r="M52" i="1"/>
  <c r="O52" i="1"/>
  <c r="N52" i="1"/>
  <c r="M57" i="1"/>
  <c r="N57" i="1"/>
  <c r="O57" i="1"/>
  <c r="M79" i="1"/>
  <c r="N79" i="1"/>
  <c r="O79" i="1"/>
  <c r="M88" i="1"/>
  <c r="O88" i="1"/>
  <c r="N88" i="1"/>
  <c r="M94" i="1"/>
  <c r="O94" i="1"/>
  <c r="N94" i="1"/>
  <c r="M69" i="1"/>
  <c r="N69" i="1"/>
  <c r="O69" i="1"/>
  <c r="M30" i="1"/>
  <c r="N30" i="1"/>
  <c r="O30" i="1"/>
  <c r="M60" i="1"/>
  <c r="O60" i="1"/>
  <c r="N60" i="1"/>
  <c r="M51" i="1"/>
  <c r="N51" i="1"/>
  <c r="O51" i="1"/>
  <c r="M44" i="1"/>
  <c r="O44" i="1"/>
  <c r="N44" i="1"/>
  <c r="M61" i="1"/>
  <c r="N61" i="1"/>
  <c r="O61" i="1"/>
  <c r="M47" i="1"/>
  <c r="N47" i="1"/>
  <c r="O47" i="1"/>
  <c r="M95" i="1"/>
  <c r="O95" i="1"/>
  <c r="N95" i="1"/>
  <c r="M76" i="1"/>
  <c r="O76" i="1"/>
  <c r="N76" i="1"/>
  <c r="M48" i="1"/>
  <c r="O48" i="1"/>
  <c r="N48" i="1"/>
  <c r="M50" i="1"/>
  <c r="N50" i="1"/>
  <c r="O50" i="1"/>
  <c r="M34" i="1"/>
  <c r="N34" i="1"/>
  <c r="O34" i="1"/>
  <c r="M90" i="1"/>
  <c r="N90" i="1"/>
  <c r="O90" i="1"/>
  <c r="M70" i="1"/>
  <c r="N70" i="1"/>
  <c r="O70" i="1"/>
  <c r="M36" i="1"/>
  <c r="O36" i="1"/>
  <c r="N36" i="1"/>
  <c r="M33" i="1"/>
  <c r="N33" i="1"/>
  <c r="O33" i="1"/>
  <c r="M32" i="1"/>
  <c r="O32" i="1"/>
  <c r="N32" i="1"/>
  <c r="M43" i="1"/>
  <c r="N43" i="1"/>
  <c r="O43" i="1"/>
  <c r="M55" i="1"/>
  <c r="N55" i="1"/>
  <c r="O55" i="1"/>
  <c r="M35" i="1"/>
  <c r="N35" i="1"/>
  <c r="O35" i="1"/>
  <c r="M101" i="1"/>
  <c r="N101" i="1"/>
  <c r="O101" i="1"/>
  <c r="M91" i="1"/>
  <c r="N91" i="1"/>
  <c r="O91" i="1"/>
  <c r="M49" i="1"/>
  <c r="N49" i="1"/>
  <c r="O49" i="1"/>
  <c r="M64" i="1"/>
  <c r="O64" i="1"/>
  <c r="N64" i="1"/>
  <c r="M68" i="1"/>
  <c r="O68" i="1"/>
  <c r="N68" i="1"/>
  <c r="M84" i="1"/>
  <c r="O84" i="1"/>
  <c r="N84" i="1"/>
  <c r="M99" i="1"/>
  <c r="N99" i="1"/>
  <c r="O99" i="1"/>
  <c r="M87" i="1"/>
  <c r="N87" i="1"/>
  <c r="O87" i="1"/>
  <c r="M67" i="1"/>
  <c r="N67" i="1"/>
  <c r="O67" i="1"/>
  <c r="M37" i="1"/>
  <c r="N37" i="1"/>
  <c r="O37" i="1"/>
  <c r="M73" i="1"/>
  <c r="N73" i="1"/>
  <c r="O73" i="1"/>
  <c r="M41" i="1"/>
  <c r="N41" i="1"/>
  <c r="O41" i="1"/>
  <c r="M100" i="1"/>
  <c r="O100" i="1"/>
  <c r="N100" i="1"/>
  <c r="M38" i="1"/>
  <c r="N38" i="1"/>
  <c r="O38" i="1"/>
  <c r="M31" i="1"/>
  <c r="N31" i="1"/>
  <c r="O31" i="1"/>
  <c r="N16" i="1" l="1"/>
  <c r="F17" i="1" s="1"/>
  <c r="F16" i="1" s="1"/>
  <c r="E17" i="1" l="1"/>
  <c r="E16" i="1" s="1"/>
  <c r="E15" i="1"/>
  <c r="G22" i="1" s="1"/>
  <c r="F22" i="1"/>
  <c r="N19" i="1" l="1"/>
  <c r="N20" i="1" s="1"/>
  <c r="F15" i="1" s="1"/>
  <c r="F23" i="1"/>
  <c r="G23" i="1"/>
</calcChain>
</file>

<file path=xl/sharedStrings.xml><?xml version="1.0" encoding="utf-8"?>
<sst xmlns="http://schemas.openxmlformats.org/spreadsheetml/2006/main" count="90" uniqueCount="79">
  <si>
    <t>Jour</t>
  </si>
  <si>
    <t>n°</t>
  </si>
  <si>
    <t>a priori</t>
  </si>
  <si>
    <t>variance σ²0</t>
  </si>
  <si>
    <t>niveau</t>
  </si>
  <si>
    <t>bas</t>
  </si>
  <si>
    <t>moyen</t>
  </si>
  <si>
    <t xml:space="preserve">haut </t>
  </si>
  <si>
    <t>moyenne μn</t>
  </si>
  <si>
    <t>variance σ²n</t>
  </si>
  <si>
    <t>a posteriori</t>
  </si>
  <si>
    <t>répétition</t>
  </si>
  <si>
    <t>ddl</t>
  </si>
  <si>
    <t>pente b</t>
  </si>
  <si>
    <t>Sb</t>
  </si>
  <si>
    <t>Sa</t>
  </si>
  <si>
    <t>A priori sur la pente (β₀) :</t>
  </si>
  <si>
    <t>Variance de l’a priori β (τβ²)</t>
  </si>
  <si>
    <t>A priori sur l’ordonnée α₀</t>
  </si>
  <si>
    <t>Variance de l’a priori α (τα²) </t>
  </si>
  <si>
    <t>x</t>
  </si>
  <si>
    <t>y</t>
  </si>
  <si>
    <t>z</t>
  </si>
  <si>
    <t>y-z</t>
  </si>
  <si>
    <t>SCEres</t>
  </si>
  <si>
    <t>Freg</t>
  </si>
  <si>
    <t>R²</t>
  </si>
  <si>
    <t>Sy/x</t>
  </si>
  <si>
    <t>SCEx</t>
  </si>
  <si>
    <t>pente bn</t>
  </si>
  <si>
    <t>S²bn</t>
  </si>
  <si>
    <t>ordonnée a</t>
  </si>
  <si>
    <t>S²an</t>
  </si>
  <si>
    <t>SCE reg</t>
  </si>
  <si>
    <t>SCEy</t>
  </si>
  <si>
    <t>Variance résiduelle  σ²</t>
  </si>
  <si>
    <t>Sbn</t>
  </si>
  <si>
    <t>San</t>
  </si>
  <si>
    <t>Bayésien</t>
  </si>
  <si>
    <t>cible</t>
  </si>
  <si>
    <t>ordo. an</t>
  </si>
  <si>
    <t>écart</t>
  </si>
  <si>
    <t>IC95% bayésien</t>
  </si>
  <si>
    <t>somme des x</t>
  </si>
  <si>
    <t>sommme des y</t>
  </si>
  <si>
    <t>(somme des x)*bn</t>
  </si>
  <si>
    <t>jour 1</t>
  </si>
  <si>
    <t>Jour2</t>
  </si>
  <si>
    <t>Jou 3</t>
  </si>
  <si>
    <t>r1</t>
  </si>
  <si>
    <t>r2</t>
  </si>
  <si>
    <t>r3</t>
  </si>
  <si>
    <t>a0</t>
  </si>
  <si>
    <t>B0</t>
  </si>
  <si>
    <t>moyenne y</t>
  </si>
  <si>
    <t>paramètre faible pour un prior non informatif</t>
  </si>
  <si>
    <t>an</t>
  </si>
  <si>
    <t>Bn</t>
  </si>
  <si>
    <t>σ²n</t>
  </si>
  <si>
    <t>σn</t>
  </si>
  <si>
    <t>CV%</t>
  </si>
  <si>
    <t>Cible</t>
  </si>
  <si>
    <t>Fréquentiste</t>
  </si>
  <si>
    <t>IC95% fréquentiste</t>
  </si>
  <si>
    <t>ordonnée an</t>
  </si>
  <si>
    <t>r4</t>
  </si>
  <si>
    <t>r5</t>
  </si>
  <si>
    <t>Linéarité</t>
  </si>
  <si>
    <t>moyenne μ0 (cible)</t>
  </si>
  <si>
    <t>biais</t>
  </si>
  <si>
    <t>IC95% -</t>
  </si>
  <si>
    <t>IC95% +</t>
  </si>
  <si>
    <t>moyenne x</t>
  </si>
  <si>
    <t>IC95-</t>
  </si>
  <si>
    <t>IC95+</t>
  </si>
  <si>
    <t>Justesse Bayésienne</t>
  </si>
  <si>
    <t>d'après ce protocole :
- la linéarité n'est pas vérifiéeen bayésien mais elle l'est en fréquentiste
- la fidélité semble cohérente (&lt;5%)
- la justesse n'est pas validé en bayésien
Mon approche analytique frequentiste n'est pas bon car calé sur les standard (ICHQ2, SFSTP) qui utilise des tests d'hypothèse (Student / Intervalle de confiance). Hors je sais que cette approche fréquentiste n'est pas bonne. Il faudrait raisonné en capabilité / profil d'exactitude. A approfondir</t>
  </si>
  <si>
    <t>Fidélité Bayésienne</t>
  </si>
  <si>
    <t>IC doit contenir la valeur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</si>
</sst>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sz val="9.6"/>
      <name val="Segoe U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20"/>
      <name val="Calibri"/>
      <family val="2"/>
      <scheme val="minor"/>
    </font>
    <font>
      <sz val="2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3" borderId="0" xfId="0" applyFont="1" applyFill="1"/>
    <xf numFmtId="0" fontId="1" fillId="3" borderId="0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1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/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/>
    <xf numFmtId="0" fontId="1" fillId="4" borderId="1" xfId="0" applyFont="1" applyFill="1" applyBorder="1" applyAlignment="1"/>
    <xf numFmtId="0" fontId="1" fillId="3" borderId="1" xfId="0" applyFont="1" applyFill="1" applyBorder="1" applyAlignment="1">
      <alignment horizontal="center" wrapText="1"/>
    </xf>
    <xf numFmtId="164" fontId="1" fillId="0" borderId="0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0" borderId="0" xfId="0" applyNumberFormat="1" applyFont="1"/>
    <xf numFmtId="10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/>
    </xf>
    <xf numFmtId="11" fontId="8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/>
    </xf>
    <xf numFmtId="0" fontId="5" fillId="0" borderId="0" xfId="0" applyFont="1" applyBorder="1"/>
    <xf numFmtId="164" fontId="5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textRotation="90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7" fillId="4" borderId="0" xfId="0" applyFont="1" applyFill="1" applyAlignment="1">
      <alignment horizontal="center" vertical="center" textRotation="90" wrapText="1"/>
    </xf>
  </cellXfs>
  <cellStyles count="2">
    <cellStyle name="Normal" xfId="0" builtinId="0"/>
    <cellStyle name="Normal 2" xfId="1" xr:uid="{94FAE564-632C-4561-BE67-9D0A5FFEF77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Observation (fréquentiste)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788648293963254"/>
                  <c:y val="-7.10757509477981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'régression bayésienne'!$J$27:$J$101</c:f>
              <c:numCache>
                <c:formatCode>0.000</c:formatCode>
                <c:ptCount val="7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1.4</c:v>
                </c:pt>
                <c:pt idx="72">
                  <c:v>1.4</c:v>
                </c:pt>
                <c:pt idx="73">
                  <c:v>1.4</c:v>
                </c:pt>
                <c:pt idx="74">
                  <c:v>1.4</c:v>
                </c:pt>
              </c:numCache>
            </c:numRef>
          </c:xVal>
          <c:yVal>
            <c:numRef>
              <c:f>'régression bayésienne'!$K$27:$K$101</c:f>
              <c:numCache>
                <c:formatCode>0.000</c:formatCode>
                <c:ptCount val="75"/>
                <c:pt idx="0">
                  <c:v>0.93</c:v>
                </c:pt>
                <c:pt idx="1">
                  <c:v>0.89</c:v>
                </c:pt>
                <c:pt idx="2">
                  <c:v>0.92</c:v>
                </c:pt>
                <c:pt idx="3">
                  <c:v>0.91</c:v>
                </c:pt>
                <c:pt idx="4">
                  <c:v>0.85</c:v>
                </c:pt>
                <c:pt idx="5">
                  <c:v>0.84</c:v>
                </c:pt>
                <c:pt idx="6">
                  <c:v>0.96</c:v>
                </c:pt>
                <c:pt idx="7">
                  <c:v>0.89</c:v>
                </c:pt>
                <c:pt idx="8">
                  <c:v>0.86</c:v>
                </c:pt>
                <c:pt idx="9">
                  <c:v>0.88</c:v>
                </c:pt>
                <c:pt idx="10">
                  <c:v>0.97</c:v>
                </c:pt>
                <c:pt idx="11">
                  <c:v>0.95</c:v>
                </c:pt>
                <c:pt idx="12">
                  <c:v>0.94</c:v>
                </c:pt>
                <c:pt idx="13">
                  <c:v>0.93</c:v>
                </c:pt>
                <c:pt idx="14">
                  <c:v>0.9</c:v>
                </c:pt>
                <c:pt idx="15">
                  <c:v>0.94</c:v>
                </c:pt>
                <c:pt idx="16">
                  <c:v>0.95</c:v>
                </c:pt>
                <c:pt idx="17">
                  <c:v>0.92</c:v>
                </c:pt>
                <c:pt idx="18">
                  <c:v>0.92</c:v>
                </c:pt>
                <c:pt idx="19">
                  <c:v>0.88</c:v>
                </c:pt>
                <c:pt idx="20">
                  <c:v>0.89</c:v>
                </c:pt>
                <c:pt idx="21">
                  <c:v>0.91</c:v>
                </c:pt>
                <c:pt idx="22">
                  <c:v>0.94</c:v>
                </c:pt>
                <c:pt idx="23">
                  <c:v>0.98</c:v>
                </c:pt>
                <c:pt idx="24">
                  <c:v>0.87</c:v>
                </c:pt>
                <c:pt idx="25">
                  <c:v>1.1299999999999999</c:v>
                </c:pt>
                <c:pt idx="26">
                  <c:v>1.1000000000000001</c:v>
                </c:pt>
                <c:pt idx="27">
                  <c:v>1.02</c:v>
                </c:pt>
                <c:pt idx="28">
                  <c:v>1.06</c:v>
                </c:pt>
                <c:pt idx="29">
                  <c:v>1.01</c:v>
                </c:pt>
                <c:pt idx="30">
                  <c:v>1.1599999999999999</c:v>
                </c:pt>
                <c:pt idx="31">
                  <c:v>1.1399999999999999</c:v>
                </c:pt>
                <c:pt idx="32">
                  <c:v>1.07</c:v>
                </c:pt>
                <c:pt idx="33">
                  <c:v>1.18</c:v>
                </c:pt>
                <c:pt idx="34">
                  <c:v>1.1200000000000001</c:v>
                </c:pt>
                <c:pt idx="35">
                  <c:v>1.05</c:v>
                </c:pt>
                <c:pt idx="36">
                  <c:v>1.1399999999999999</c:v>
                </c:pt>
                <c:pt idx="37">
                  <c:v>1.02</c:v>
                </c:pt>
                <c:pt idx="38">
                  <c:v>1.1100000000000001</c:v>
                </c:pt>
                <c:pt idx="39">
                  <c:v>1.01</c:v>
                </c:pt>
                <c:pt idx="40">
                  <c:v>1.08</c:v>
                </c:pt>
                <c:pt idx="41">
                  <c:v>1.01</c:v>
                </c:pt>
                <c:pt idx="42">
                  <c:v>1.04</c:v>
                </c:pt>
                <c:pt idx="43">
                  <c:v>1.1299999999999999</c:v>
                </c:pt>
                <c:pt idx="44">
                  <c:v>1.08</c:v>
                </c:pt>
                <c:pt idx="45">
                  <c:v>1.03</c:v>
                </c:pt>
                <c:pt idx="46">
                  <c:v>1.04</c:v>
                </c:pt>
                <c:pt idx="47">
                  <c:v>1.1100000000000001</c:v>
                </c:pt>
                <c:pt idx="48">
                  <c:v>1.0900000000000001</c:v>
                </c:pt>
                <c:pt idx="49">
                  <c:v>1.1000000000000001</c:v>
                </c:pt>
                <c:pt idx="50">
                  <c:v>1.43</c:v>
                </c:pt>
                <c:pt idx="51">
                  <c:v>1.33</c:v>
                </c:pt>
                <c:pt idx="52">
                  <c:v>1.48</c:v>
                </c:pt>
                <c:pt idx="53">
                  <c:v>1.38</c:v>
                </c:pt>
                <c:pt idx="54">
                  <c:v>1.36</c:v>
                </c:pt>
                <c:pt idx="55">
                  <c:v>1.37</c:v>
                </c:pt>
                <c:pt idx="56">
                  <c:v>1.3</c:v>
                </c:pt>
                <c:pt idx="57">
                  <c:v>1.51</c:v>
                </c:pt>
                <c:pt idx="58">
                  <c:v>1.59</c:v>
                </c:pt>
                <c:pt idx="59">
                  <c:v>1.51</c:v>
                </c:pt>
                <c:pt idx="60">
                  <c:v>1.31</c:v>
                </c:pt>
                <c:pt idx="61">
                  <c:v>1.38</c:v>
                </c:pt>
                <c:pt idx="62">
                  <c:v>1.38</c:v>
                </c:pt>
                <c:pt idx="63">
                  <c:v>1.49</c:v>
                </c:pt>
                <c:pt idx="64">
                  <c:v>1.31</c:v>
                </c:pt>
                <c:pt idx="65">
                  <c:v>1.53</c:v>
                </c:pt>
                <c:pt idx="66">
                  <c:v>1.43</c:v>
                </c:pt>
                <c:pt idx="67">
                  <c:v>1.32</c:v>
                </c:pt>
                <c:pt idx="68">
                  <c:v>1.4</c:v>
                </c:pt>
                <c:pt idx="69">
                  <c:v>1.49</c:v>
                </c:pt>
                <c:pt idx="70">
                  <c:v>1.42</c:v>
                </c:pt>
                <c:pt idx="71">
                  <c:v>1.37</c:v>
                </c:pt>
                <c:pt idx="72">
                  <c:v>1.37</c:v>
                </c:pt>
                <c:pt idx="73">
                  <c:v>1.4</c:v>
                </c:pt>
                <c:pt idx="74">
                  <c:v>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1-4ABB-8350-29FDD2B9DC6A}"/>
            </c:ext>
          </c:extLst>
        </c:ser>
        <c:ser>
          <c:idx val="1"/>
          <c:order val="1"/>
          <c:tx>
            <c:v>IC95-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'régression bayésienne'!$J$27:$J$101</c:f>
              <c:numCache>
                <c:formatCode>0.000</c:formatCode>
                <c:ptCount val="7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1.4</c:v>
                </c:pt>
                <c:pt idx="72">
                  <c:v>1.4</c:v>
                </c:pt>
                <c:pt idx="73">
                  <c:v>1.4</c:v>
                </c:pt>
                <c:pt idx="74">
                  <c:v>1.4</c:v>
                </c:pt>
              </c:numCache>
            </c:numRef>
          </c:xVal>
          <c:yVal>
            <c:numRef>
              <c:f>'régression bayésienne'!$N$27:$N$101</c:f>
              <c:numCache>
                <c:formatCode>0.000</c:formatCode>
                <c:ptCount val="75"/>
                <c:pt idx="0">
                  <c:v>0.88038422981010089</c:v>
                </c:pt>
                <c:pt idx="1">
                  <c:v>0.88038422981010089</c:v>
                </c:pt>
                <c:pt idx="2">
                  <c:v>0.88038422981010089</c:v>
                </c:pt>
                <c:pt idx="3">
                  <c:v>0.88038422981010089</c:v>
                </c:pt>
                <c:pt idx="4">
                  <c:v>0.88038422981010089</c:v>
                </c:pt>
                <c:pt idx="5">
                  <c:v>0.88038422981010089</c:v>
                </c:pt>
                <c:pt idx="6">
                  <c:v>0.88038422981010089</c:v>
                </c:pt>
                <c:pt idx="7">
                  <c:v>0.88038422981010089</c:v>
                </c:pt>
                <c:pt idx="8">
                  <c:v>0.88038422981010089</c:v>
                </c:pt>
                <c:pt idx="9">
                  <c:v>0.88038422981010089</c:v>
                </c:pt>
                <c:pt idx="10">
                  <c:v>0.88038422981010089</c:v>
                </c:pt>
                <c:pt idx="11">
                  <c:v>0.88038422981010089</c:v>
                </c:pt>
                <c:pt idx="12">
                  <c:v>0.88038422981010089</c:v>
                </c:pt>
                <c:pt idx="13">
                  <c:v>0.88038422981010089</c:v>
                </c:pt>
                <c:pt idx="14">
                  <c:v>0.88038422981010089</c:v>
                </c:pt>
                <c:pt idx="15">
                  <c:v>0.88038422981010089</c:v>
                </c:pt>
                <c:pt idx="16">
                  <c:v>0.88038422981010089</c:v>
                </c:pt>
                <c:pt idx="17">
                  <c:v>0.88038422981010089</c:v>
                </c:pt>
                <c:pt idx="18">
                  <c:v>0.88038422981010089</c:v>
                </c:pt>
                <c:pt idx="19">
                  <c:v>0.88038422981010089</c:v>
                </c:pt>
                <c:pt idx="20">
                  <c:v>0.88038422981010089</c:v>
                </c:pt>
                <c:pt idx="21">
                  <c:v>0.88038422981010089</c:v>
                </c:pt>
                <c:pt idx="22">
                  <c:v>0.88038422981010089</c:v>
                </c:pt>
                <c:pt idx="23">
                  <c:v>0.88038422981010089</c:v>
                </c:pt>
                <c:pt idx="24">
                  <c:v>0.88038422981010089</c:v>
                </c:pt>
                <c:pt idx="25">
                  <c:v>1.087162072627585</c:v>
                </c:pt>
                <c:pt idx="26">
                  <c:v>1.087162072627585</c:v>
                </c:pt>
                <c:pt idx="27">
                  <c:v>1.087162072627585</c:v>
                </c:pt>
                <c:pt idx="28">
                  <c:v>1.087162072627585</c:v>
                </c:pt>
                <c:pt idx="29">
                  <c:v>1.087162072627585</c:v>
                </c:pt>
                <c:pt idx="30">
                  <c:v>1.087162072627585</c:v>
                </c:pt>
                <c:pt idx="31">
                  <c:v>1.087162072627585</c:v>
                </c:pt>
                <c:pt idx="32">
                  <c:v>1.087162072627585</c:v>
                </c:pt>
                <c:pt idx="33">
                  <c:v>1.087162072627585</c:v>
                </c:pt>
                <c:pt idx="34">
                  <c:v>1.087162072627585</c:v>
                </c:pt>
                <c:pt idx="35">
                  <c:v>1.087162072627585</c:v>
                </c:pt>
                <c:pt idx="36">
                  <c:v>1.087162072627585</c:v>
                </c:pt>
                <c:pt idx="37">
                  <c:v>1.087162072627585</c:v>
                </c:pt>
                <c:pt idx="38">
                  <c:v>1.087162072627585</c:v>
                </c:pt>
                <c:pt idx="39">
                  <c:v>1.087162072627585</c:v>
                </c:pt>
                <c:pt idx="40">
                  <c:v>1.087162072627585</c:v>
                </c:pt>
                <c:pt idx="41">
                  <c:v>1.087162072627585</c:v>
                </c:pt>
                <c:pt idx="42">
                  <c:v>1.087162072627585</c:v>
                </c:pt>
                <c:pt idx="43">
                  <c:v>1.087162072627585</c:v>
                </c:pt>
                <c:pt idx="44">
                  <c:v>1.087162072627585</c:v>
                </c:pt>
                <c:pt idx="45">
                  <c:v>1.087162072627585</c:v>
                </c:pt>
                <c:pt idx="46">
                  <c:v>1.087162072627585</c:v>
                </c:pt>
                <c:pt idx="47">
                  <c:v>1.087162072627585</c:v>
                </c:pt>
                <c:pt idx="48">
                  <c:v>1.087162072627585</c:v>
                </c:pt>
                <c:pt idx="49">
                  <c:v>1.087162072627585</c:v>
                </c:pt>
                <c:pt idx="50">
                  <c:v>1.378628498233345</c:v>
                </c:pt>
                <c:pt idx="51">
                  <c:v>1.378628498233345</c:v>
                </c:pt>
                <c:pt idx="52">
                  <c:v>1.378628498233345</c:v>
                </c:pt>
                <c:pt idx="53">
                  <c:v>1.378628498233345</c:v>
                </c:pt>
                <c:pt idx="54">
                  <c:v>1.378628498233345</c:v>
                </c:pt>
                <c:pt idx="55">
                  <c:v>1.378628498233345</c:v>
                </c:pt>
                <c:pt idx="56">
                  <c:v>1.378628498233345</c:v>
                </c:pt>
                <c:pt idx="57">
                  <c:v>1.378628498233345</c:v>
                </c:pt>
                <c:pt idx="58">
                  <c:v>1.378628498233345</c:v>
                </c:pt>
                <c:pt idx="59">
                  <c:v>1.378628498233345</c:v>
                </c:pt>
                <c:pt idx="60">
                  <c:v>1.378628498233345</c:v>
                </c:pt>
                <c:pt idx="61">
                  <c:v>1.378628498233345</c:v>
                </c:pt>
                <c:pt idx="62">
                  <c:v>1.378628498233345</c:v>
                </c:pt>
                <c:pt idx="63">
                  <c:v>1.378628498233345</c:v>
                </c:pt>
                <c:pt idx="64">
                  <c:v>1.378628498233345</c:v>
                </c:pt>
                <c:pt idx="65">
                  <c:v>1.378628498233345</c:v>
                </c:pt>
                <c:pt idx="66">
                  <c:v>1.378628498233345</c:v>
                </c:pt>
                <c:pt idx="67">
                  <c:v>1.378628498233345</c:v>
                </c:pt>
                <c:pt idx="68">
                  <c:v>1.378628498233345</c:v>
                </c:pt>
                <c:pt idx="69">
                  <c:v>1.378628498233345</c:v>
                </c:pt>
                <c:pt idx="70">
                  <c:v>1.378628498233345</c:v>
                </c:pt>
                <c:pt idx="71">
                  <c:v>1.378628498233345</c:v>
                </c:pt>
                <c:pt idx="72">
                  <c:v>1.378628498233345</c:v>
                </c:pt>
                <c:pt idx="73">
                  <c:v>1.378628498233345</c:v>
                </c:pt>
                <c:pt idx="74">
                  <c:v>1.378628498233345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1-4ABB-8350-29FDD2B9DC6A}"/>
            </c:ext>
          </c:extLst>
        </c:ser>
        <c:ser>
          <c:idx val="2"/>
          <c:order val="2"/>
          <c:tx>
            <c:v>IC95+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'régression bayésienne'!$J$27:$J$101</c:f>
              <c:numCache>
                <c:formatCode>0.000</c:formatCode>
                <c:ptCount val="7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1.4</c:v>
                </c:pt>
                <c:pt idx="72">
                  <c:v>1.4</c:v>
                </c:pt>
                <c:pt idx="73">
                  <c:v>1.4</c:v>
                </c:pt>
                <c:pt idx="74">
                  <c:v>1.4</c:v>
                </c:pt>
              </c:numCache>
            </c:numRef>
          </c:xVal>
          <c:yVal>
            <c:numRef>
              <c:f>'régression bayésienne'!$O$27:$O$101</c:f>
              <c:numCache>
                <c:formatCode>0.000</c:formatCode>
                <c:ptCount val="75"/>
                <c:pt idx="0">
                  <c:v>0.92008678740910277</c:v>
                </c:pt>
                <c:pt idx="1">
                  <c:v>0.92203270336410281</c:v>
                </c:pt>
                <c:pt idx="2">
                  <c:v>0.92055787373206865</c:v>
                </c:pt>
                <c:pt idx="3">
                  <c:v>0.9210397163963332</c:v>
                </c:pt>
                <c:pt idx="4">
                  <c:v>0.92411804299512701</c:v>
                </c:pt>
                <c:pt idx="5">
                  <c:v>0.92465690424194236</c:v>
                </c:pt>
                <c:pt idx="6">
                  <c:v>0.91874651656233719</c:v>
                </c:pt>
                <c:pt idx="7">
                  <c:v>0.92203270336410281</c:v>
                </c:pt>
                <c:pt idx="8">
                  <c:v>0.92358570121410533</c:v>
                </c:pt>
                <c:pt idx="9">
                  <c:v>0.92254249970513924</c:v>
                </c:pt>
                <c:pt idx="10">
                  <c:v>0.91832721815254681</c:v>
                </c:pt>
                <c:pt idx="11">
                  <c:v>0.91918020193942895</c:v>
                </c:pt>
                <c:pt idx="12">
                  <c:v>0.91962727169281577</c:v>
                </c:pt>
                <c:pt idx="13">
                  <c:v>0.92008678740910277</c:v>
                </c:pt>
                <c:pt idx="14">
                  <c:v>0.9215315596635808</c:v>
                </c:pt>
                <c:pt idx="15">
                  <c:v>0.91962727169281577</c:v>
                </c:pt>
                <c:pt idx="16">
                  <c:v>0.91918020193942895</c:v>
                </c:pt>
                <c:pt idx="17">
                  <c:v>0.92055787373206865</c:v>
                </c:pt>
                <c:pt idx="18">
                  <c:v>0.92055787373206865</c:v>
                </c:pt>
                <c:pt idx="19">
                  <c:v>0.92254249970513924</c:v>
                </c:pt>
                <c:pt idx="20">
                  <c:v>0.92203270336410281</c:v>
                </c:pt>
                <c:pt idx="21">
                  <c:v>0.9210397163963332</c:v>
                </c:pt>
                <c:pt idx="22">
                  <c:v>0.91962727169281577</c:v>
                </c:pt>
                <c:pt idx="23">
                  <c:v>0.91792337345664377</c:v>
                </c:pt>
                <c:pt idx="24">
                  <c:v>0.9230603499715675</c:v>
                </c:pt>
                <c:pt idx="25">
                  <c:v>1.1145356541394829</c:v>
                </c:pt>
                <c:pt idx="26">
                  <c:v>1.1147116115829387</c:v>
                </c:pt>
                <c:pt idx="27">
                  <c:v>1.1164649194273633</c:v>
                </c:pt>
                <c:pt idx="28">
                  <c:v>1.1153738358128005</c:v>
                </c:pt>
                <c:pt idx="29">
                  <c:v>1.1167950936429676</c:v>
                </c:pt>
                <c:pt idx="30">
                  <c:v>1.1146478883292186</c:v>
                </c:pt>
                <c:pt idx="31">
                  <c:v>1.1145410196208652</c:v>
                </c:pt>
                <c:pt idx="32">
                  <c:v>1.1151650726635103</c:v>
                </c:pt>
                <c:pt idx="33">
                  <c:v>1.1148801165574926</c:v>
                </c:pt>
                <c:pt idx="34">
                  <c:v>1.1145624604182756</c:v>
                </c:pt>
                <c:pt idx="35">
                  <c:v>1.1156094960099983</c:v>
                </c:pt>
                <c:pt idx="36">
                  <c:v>1.1145410196208652</c:v>
                </c:pt>
                <c:pt idx="37">
                  <c:v>1.1164649194273633</c:v>
                </c:pt>
                <c:pt idx="38">
                  <c:v>1.1146212493955181</c:v>
                </c:pt>
                <c:pt idx="39">
                  <c:v>1.1167950936429676</c:v>
                </c:pt>
                <c:pt idx="40">
                  <c:v>1.1149844057776452</c:v>
                </c:pt>
                <c:pt idx="41">
                  <c:v>1.1167950936429676</c:v>
                </c:pt>
                <c:pt idx="42">
                  <c:v>1.1158707799887766</c:v>
                </c:pt>
                <c:pt idx="43">
                  <c:v>1.1145356541394829</c:v>
                </c:pt>
                <c:pt idx="44">
                  <c:v>1.1149844057776452</c:v>
                </c:pt>
                <c:pt idx="45">
                  <c:v>1.1161563681035642</c:v>
                </c:pt>
                <c:pt idx="46">
                  <c:v>1.1158707799887766</c:v>
                </c:pt>
                <c:pt idx="47">
                  <c:v>1.1146212493955181</c:v>
                </c:pt>
                <c:pt idx="48">
                  <c:v>1.1148329310602336</c:v>
                </c:pt>
                <c:pt idx="49">
                  <c:v>1.1147116115829387</c:v>
                </c:pt>
                <c:pt idx="50">
                  <c:v>1.424785265721277</c:v>
                </c:pt>
                <c:pt idx="51">
                  <c:v>1.4197264736436506</c:v>
                </c:pt>
                <c:pt idx="52">
                  <c:v>1.4275717806791193</c:v>
                </c:pt>
                <c:pt idx="53">
                  <c:v>1.4221490730384285</c:v>
                </c:pt>
                <c:pt idx="54">
                  <c:v>1.4211499570847566</c:v>
                </c:pt>
                <c:pt idx="55">
                  <c:v>1.4216449756393728</c:v>
                </c:pt>
                <c:pt idx="56">
                  <c:v>1.4184126896204106</c:v>
                </c:pt>
                <c:pt idx="57">
                  <c:v>1.4292975376515895</c:v>
                </c:pt>
                <c:pt idx="58">
                  <c:v>1.4340418821596665</c:v>
                </c:pt>
                <c:pt idx="59">
                  <c:v>1.4292975376515895</c:v>
                </c:pt>
                <c:pt idx="60">
                  <c:v>1.418836899060385</c:v>
                </c:pt>
                <c:pt idx="61">
                  <c:v>1.4221490730384285</c:v>
                </c:pt>
                <c:pt idx="62">
                  <c:v>1.4221490730384285</c:v>
                </c:pt>
                <c:pt idx="63">
                  <c:v>1.428143106537608</c:v>
                </c:pt>
                <c:pt idx="64">
                  <c:v>1.418836899060385</c:v>
                </c:pt>
                <c:pt idx="65">
                  <c:v>1.4304661386707773</c:v>
                </c:pt>
                <c:pt idx="66">
                  <c:v>1.424785265721277</c:v>
                </c:pt>
                <c:pt idx="67">
                  <c:v>1.4192751541140869</c:v>
                </c:pt>
                <c:pt idx="68">
                  <c:v>1.4231820280824417</c:v>
                </c:pt>
                <c:pt idx="69">
                  <c:v>1.428143106537608</c:v>
                </c:pt>
                <c:pt idx="70">
                  <c:v>1.4242443296341296</c:v>
                </c:pt>
                <c:pt idx="71">
                  <c:v>1.4216449756393728</c:v>
                </c:pt>
                <c:pt idx="72">
                  <c:v>1.4216449756393728</c:v>
                </c:pt>
                <c:pt idx="73">
                  <c:v>1.4231820280824417</c:v>
                </c:pt>
                <c:pt idx="74">
                  <c:v>1.4211499570847566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1-4ABB-8350-29FDD2B9DC6A}"/>
            </c:ext>
          </c:extLst>
        </c:ser>
        <c:ser>
          <c:idx val="3"/>
          <c:order val="3"/>
          <c:tx>
            <c:v>bissectrice</c:v>
          </c:tx>
          <c:spPr>
            <a:ln w="254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'régression bayésienne'!$J$27:$J$101</c:f>
              <c:numCache>
                <c:formatCode>0.000</c:formatCode>
                <c:ptCount val="7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1.4</c:v>
                </c:pt>
                <c:pt idx="72">
                  <c:v>1.4</c:v>
                </c:pt>
                <c:pt idx="73">
                  <c:v>1.4</c:v>
                </c:pt>
                <c:pt idx="74">
                  <c:v>1.4</c:v>
                </c:pt>
              </c:numCache>
            </c:numRef>
          </c:xVal>
          <c:yVal>
            <c:numRef>
              <c:f>'régression bayésienne'!$J$27:$J$101</c:f>
              <c:numCache>
                <c:formatCode>0.000</c:formatCode>
                <c:ptCount val="7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1.4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1.4</c:v>
                </c:pt>
                <c:pt idx="70">
                  <c:v>1.4</c:v>
                </c:pt>
                <c:pt idx="71">
                  <c:v>1.4</c:v>
                </c:pt>
                <c:pt idx="72">
                  <c:v>1.4</c:v>
                </c:pt>
                <c:pt idx="73">
                  <c:v>1.4</c:v>
                </c:pt>
                <c:pt idx="74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11-4ABB-8350-29FDD2B9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118847"/>
        <c:axId val="607104927"/>
      </c:scatterChart>
      <c:valAx>
        <c:axId val="607118847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7104927"/>
        <c:crosses val="autoZero"/>
        <c:crossBetween val="midCat"/>
      </c:valAx>
      <c:valAx>
        <c:axId val="607104927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711884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116062</xdr:colOff>
      <xdr:row>25</xdr:row>
      <xdr:rowOff>33135</xdr:rowOff>
    </xdr:from>
    <xdr:to>
      <xdr:col>15</xdr:col>
      <xdr:colOff>229721</xdr:colOff>
      <xdr:row>48</xdr:row>
      <xdr:rowOff>40822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63F9E75-FE3C-94C0-36A3-819D30398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122464</xdr:colOff>
      <xdr:row>2</xdr:row>
      <xdr:rowOff>153681</xdr:rowOff>
    </xdr:from>
    <xdr:to>
      <xdr:col>10</xdr:col>
      <xdr:colOff>709974</xdr:colOff>
      <xdr:row>10</xdr:row>
      <xdr:rowOff>57048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BB58E9A-BCBF-1E2B-F3EC-F45E50EB6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534681"/>
          <a:ext cx="3757974" cy="165868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20011</xdr:colOff>
      <xdr:row>2</xdr:row>
      <xdr:rowOff>137673</xdr:rowOff>
    </xdr:from>
    <xdr:to>
      <xdr:col>14</xdr:col>
      <xdr:colOff>1167556</xdr:colOff>
      <xdr:row>10</xdr:row>
      <xdr:rowOff>43223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715188D-387E-230E-6C83-A11C1A44C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4368" y="518673"/>
          <a:ext cx="3610438" cy="1660871"/>
        </a:xfrm>
        <a:prstGeom prst="rect">
          <a:avLst/>
        </a:prstGeom>
      </xdr:spPr>
    </xdr:pic>
    <xdr:clientData/>
  </xdr:twoCellAnchor>
  <xdr:twoCellAnchor editAs="oneCell">
    <xdr:from>
      <xdr:col>20</xdr:col>
      <xdr:colOff>122246</xdr:colOff>
      <xdr:row>24</xdr:row>
      <xdr:rowOff>139563</xdr:rowOff>
    </xdr:from>
    <xdr:to>
      <xdr:col>28</xdr:col>
      <xdr:colOff>466916</xdr:colOff>
      <xdr:row>28</xdr:row>
      <xdr:rowOff>53990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F2AA3A6-D3BD-7CD9-560A-DBE3D43E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36305" y="4924475"/>
          <a:ext cx="5185611" cy="676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11"/>
  <sheetViews>
    <sheetView showGridLines="0" tabSelected="1" topLeftCell="A8" zoomScale="70" zoomScaleNormal="70" workbookViewId="0">
      <selection activeCell="A47" sqref="A47"/>
    </sheetView>
  </sheetViews>
  <sheetFormatPr baseColWidth="10" defaultColWidth="9.140625" defaultRowHeight="15" x14ac:dyDescent="0.25"/>
  <cols>
    <col min="1" max="1" width="14.28515625" style="1" customWidth="1"/>
    <col min="2" max="2" width="15.7109375" style="1" customWidth="1"/>
    <col min="3" max="3" width="15.5703125" style="1" customWidth="1"/>
    <col min="4" max="4" width="16" style="1" customWidth="1"/>
    <col min="5" max="5" width="13.140625" style="1" customWidth="1"/>
    <col min="6" max="6" width="13.5703125" style="1" customWidth="1"/>
    <col min="7" max="7" width="12.28515625" style="1" bestFit="1" customWidth="1"/>
    <col min="8" max="8" width="11.140625" style="1" customWidth="1"/>
    <col min="9" max="9" width="12.28515625" style="1" customWidth="1"/>
    <col min="10" max="10" width="11.85546875" style="2" customWidth="1"/>
    <col min="11" max="11" width="11.7109375" style="2" customWidth="1"/>
    <col min="12" max="12" width="12" style="2" customWidth="1"/>
    <col min="13" max="13" width="11.7109375" style="2" customWidth="1"/>
    <col min="14" max="14" width="13.28515625" style="2" customWidth="1"/>
    <col min="15" max="15" width="25.28515625" style="2" customWidth="1"/>
    <col min="16" max="16" width="9.140625" style="1"/>
    <col min="17" max="17" width="9.28515625" style="1" customWidth="1"/>
    <col min="18" max="18" width="9.140625" style="1"/>
    <col min="19" max="19" width="13.140625" style="1" customWidth="1"/>
    <col min="20" max="16384" width="9.140625" style="1"/>
  </cols>
  <sheetData>
    <row r="2" spans="2:24" s="3" customFormat="1" x14ac:dyDescent="0.25">
      <c r="C2" s="3" t="s">
        <v>2</v>
      </c>
      <c r="J2" s="4"/>
      <c r="K2" s="4"/>
      <c r="L2" s="4"/>
      <c r="M2" s="4"/>
      <c r="N2" s="4"/>
      <c r="O2" s="4"/>
    </row>
    <row r="3" spans="2:24" ht="15.75" thickBot="1" x14ac:dyDescent="0.3"/>
    <row r="4" spans="2:24" ht="15" customHeight="1" x14ac:dyDescent="0.25">
      <c r="B4" s="48" t="s">
        <v>2</v>
      </c>
      <c r="C4" s="50" t="s">
        <v>4</v>
      </c>
      <c r="D4" s="51"/>
      <c r="E4" s="52"/>
      <c r="Q4" s="54" t="s">
        <v>76</v>
      </c>
      <c r="R4" s="55"/>
      <c r="S4" s="55"/>
      <c r="T4" s="55"/>
      <c r="U4" s="55"/>
      <c r="V4" s="55"/>
      <c r="W4" s="55"/>
      <c r="X4" s="56"/>
    </row>
    <row r="5" spans="2:24" ht="15" customHeight="1" x14ac:dyDescent="0.25">
      <c r="B5" s="49"/>
      <c r="C5" s="21" t="s">
        <v>5</v>
      </c>
      <c r="D5" s="21" t="s">
        <v>6</v>
      </c>
      <c r="E5" s="21" t="s">
        <v>7</v>
      </c>
      <c r="J5" s="1"/>
      <c r="K5" s="1"/>
      <c r="L5" s="1"/>
      <c r="M5" s="1"/>
      <c r="O5" s="1"/>
      <c r="Q5" s="57"/>
      <c r="R5" s="58"/>
      <c r="S5" s="58"/>
      <c r="T5" s="58"/>
      <c r="U5" s="58"/>
      <c r="V5" s="58"/>
      <c r="W5" s="58"/>
      <c r="X5" s="59"/>
    </row>
    <row r="6" spans="2:24" ht="31.5" customHeight="1" x14ac:dyDescent="0.25">
      <c r="B6" s="25" t="s">
        <v>68</v>
      </c>
      <c r="C6" s="37">
        <v>0.9</v>
      </c>
      <c r="D6" s="37">
        <v>1.1000000000000001</v>
      </c>
      <c r="E6" s="37">
        <v>1.4</v>
      </c>
      <c r="J6" s="1"/>
      <c r="K6" s="1"/>
      <c r="L6" s="1"/>
      <c r="M6" s="1"/>
      <c r="O6" s="1"/>
      <c r="Q6" s="57"/>
      <c r="R6" s="58"/>
      <c r="S6" s="58"/>
      <c r="T6" s="58"/>
      <c r="U6" s="58"/>
      <c r="V6" s="58"/>
      <c r="W6" s="58"/>
      <c r="X6" s="59"/>
    </row>
    <row r="7" spans="2:24" x14ac:dyDescent="0.25">
      <c r="B7" s="14" t="s">
        <v>3</v>
      </c>
      <c r="C7" s="27">
        <v>2.5000000000000001E-3</v>
      </c>
      <c r="D7" s="27">
        <v>2.5000000000000001E-3</v>
      </c>
      <c r="E7" s="27">
        <v>4.8999999999999998E-3</v>
      </c>
      <c r="O7" s="1"/>
      <c r="Q7" s="57"/>
      <c r="R7" s="58"/>
      <c r="S7" s="58"/>
      <c r="T7" s="58"/>
      <c r="U7" s="58"/>
      <c r="V7" s="58"/>
      <c r="W7" s="58"/>
      <c r="X7" s="59"/>
    </row>
    <row r="8" spans="2:24" x14ac:dyDescent="0.25">
      <c r="K8" s="1"/>
      <c r="L8" s="1"/>
      <c r="O8" s="1"/>
      <c r="Q8" s="57"/>
      <c r="R8" s="58"/>
      <c r="S8" s="58"/>
      <c r="T8" s="58"/>
      <c r="U8" s="58"/>
      <c r="V8" s="58"/>
      <c r="W8" s="58"/>
      <c r="X8" s="59"/>
    </row>
    <row r="9" spans="2:24" x14ac:dyDescent="0.25">
      <c r="B9" s="6" t="s">
        <v>16</v>
      </c>
      <c r="C9" s="36">
        <v>1</v>
      </c>
      <c r="D9" s="36">
        <v>0</v>
      </c>
      <c r="E9" s="1" t="s">
        <v>18</v>
      </c>
      <c r="K9" s="1"/>
      <c r="L9" s="1"/>
      <c r="O9" s="1"/>
      <c r="Q9" s="57"/>
      <c r="R9" s="58"/>
      <c r="S9" s="58"/>
      <c r="T9" s="58"/>
      <c r="U9" s="58"/>
      <c r="V9" s="58"/>
      <c r="W9" s="58"/>
      <c r="X9" s="59"/>
    </row>
    <row r="10" spans="2:24" ht="15.75" thickBot="1" x14ac:dyDescent="0.3">
      <c r="B10" s="6" t="s">
        <v>17</v>
      </c>
      <c r="C10" s="36">
        <v>0.01</v>
      </c>
      <c r="D10" s="36">
        <v>1</v>
      </c>
      <c r="E10" s="1" t="s">
        <v>19</v>
      </c>
      <c r="K10" s="1"/>
      <c r="L10" s="1"/>
      <c r="O10" s="1"/>
      <c r="Q10" s="60"/>
      <c r="R10" s="61"/>
      <c r="S10" s="61"/>
      <c r="T10" s="61"/>
      <c r="U10" s="61"/>
      <c r="V10" s="61"/>
      <c r="W10" s="61"/>
      <c r="X10" s="62"/>
    </row>
    <row r="11" spans="2:24" x14ac:dyDescent="0.25">
      <c r="E11" s="2"/>
      <c r="O11" s="1"/>
    </row>
    <row r="12" spans="2:24" s="3" customFormat="1" ht="15" customHeight="1" x14ac:dyDescent="0.25">
      <c r="B12" s="63" t="s">
        <v>67</v>
      </c>
      <c r="C12" s="3" t="s">
        <v>10</v>
      </c>
      <c r="E12" s="4"/>
      <c r="J12" s="4"/>
      <c r="K12" s="4"/>
      <c r="L12" s="4"/>
      <c r="M12" s="4"/>
      <c r="N12" s="4"/>
      <c r="O12" s="4"/>
      <c r="Q12" s="53" t="s">
        <v>77</v>
      </c>
    </row>
    <row r="13" spans="2:24" x14ac:dyDescent="0.25">
      <c r="B13" s="63"/>
      <c r="E13" s="2"/>
      <c r="Q13" s="53"/>
      <c r="S13" s="44" t="s">
        <v>61</v>
      </c>
      <c r="T13" s="36">
        <v>0.9</v>
      </c>
    </row>
    <row r="14" spans="2:24" x14ac:dyDescent="0.25">
      <c r="B14" s="63"/>
      <c r="D14" s="50" t="s">
        <v>38</v>
      </c>
      <c r="E14" s="51"/>
      <c r="F14" s="51"/>
      <c r="G14" s="52"/>
      <c r="I14" s="46" t="s">
        <v>62</v>
      </c>
      <c r="J14" s="46"/>
      <c r="K14" s="46"/>
      <c r="L14" s="46"/>
      <c r="M14" s="1"/>
      <c r="N14" s="10">
        <f>DEVSQ(J27:J101)</f>
        <v>3.1666666666666661</v>
      </c>
      <c r="O14" s="22" t="s">
        <v>28</v>
      </c>
      <c r="Q14" s="53"/>
      <c r="S14" s="30"/>
      <c r="T14" s="30" t="s">
        <v>49</v>
      </c>
      <c r="U14" s="30" t="s">
        <v>50</v>
      </c>
      <c r="V14" s="30" t="s">
        <v>51</v>
      </c>
      <c r="W14" s="30" t="s">
        <v>65</v>
      </c>
      <c r="X14" s="30" t="s">
        <v>66</v>
      </c>
    </row>
    <row r="15" spans="2:24" ht="15" customHeight="1" x14ac:dyDescent="0.25">
      <c r="B15" s="63"/>
      <c r="D15" s="14" t="s">
        <v>29</v>
      </c>
      <c r="E15" s="8">
        <f>(C9/C10+N15/N16)/(1/C10+N14/N16)</f>
        <v>1.0724859265715689</v>
      </c>
      <c r="F15" s="8">
        <f>(D9/D10+N20/N16)/(1/D10+COUNT(J27:J101)/N16)</f>
        <v>-8.1213704147446081E-2</v>
      </c>
      <c r="G15" s="14" t="s">
        <v>40</v>
      </c>
      <c r="I15" s="14" t="s">
        <v>13</v>
      </c>
      <c r="J15" s="10">
        <f t="array" ref="J15:K19">LINEST(K27:K101,J27:J101,1,1)</f>
        <v>0.99989473684210506</v>
      </c>
      <c r="K15" s="10">
        <v>1.0526315789463059E-3</v>
      </c>
      <c r="L15" s="14" t="s">
        <v>31</v>
      </c>
      <c r="M15" s="1"/>
      <c r="N15" s="10">
        <f>DEVSQ(K27:K101)</f>
        <v>3.4208346666666669</v>
      </c>
      <c r="O15" s="23" t="s">
        <v>34</v>
      </c>
      <c r="Q15" s="53"/>
      <c r="S15" s="30" t="s">
        <v>46</v>
      </c>
      <c r="T15" s="27">
        <v>0.93</v>
      </c>
      <c r="U15" s="27">
        <v>0.89</v>
      </c>
      <c r="V15" s="27">
        <v>0.91</v>
      </c>
      <c r="W15" s="27">
        <v>0.93</v>
      </c>
      <c r="X15" s="27">
        <v>0.89</v>
      </c>
    </row>
    <row r="16" spans="2:24" x14ac:dyDescent="0.25">
      <c r="B16" s="63"/>
      <c r="D16" s="14" t="s">
        <v>36</v>
      </c>
      <c r="E16" s="10">
        <f>SQRT(E17)</f>
        <v>3.1128988116773948E-2</v>
      </c>
      <c r="F16" s="10">
        <f>SQRT(F17)</f>
        <v>6.7306672885696995E-3</v>
      </c>
      <c r="G16" s="14" t="s">
        <v>37</v>
      </c>
      <c r="I16" s="14" t="s">
        <v>14</v>
      </c>
      <c r="J16" s="10">
        <v>3.3202181431639811E-2</v>
      </c>
      <c r="K16" s="10">
        <v>3.8242610224032032E-2</v>
      </c>
      <c r="L16" s="14" t="s">
        <v>15</v>
      </c>
      <c r="M16" s="1"/>
      <c r="N16" s="10">
        <f>VARP(M27:M101)</f>
        <v>3.3977950877192957E-3</v>
      </c>
      <c r="O16" s="24" t="s">
        <v>35</v>
      </c>
      <c r="Q16" s="53"/>
      <c r="S16" s="30" t="s">
        <v>47</v>
      </c>
      <c r="T16" s="27">
        <v>0.88</v>
      </c>
      <c r="U16" s="27">
        <v>0.92</v>
      </c>
      <c r="V16" s="27">
        <v>0.91</v>
      </c>
      <c r="W16" s="27">
        <v>0.88</v>
      </c>
      <c r="X16" s="27">
        <v>0.92</v>
      </c>
    </row>
    <row r="17" spans="2:24" x14ac:dyDescent="0.25">
      <c r="B17" s="63"/>
      <c r="D17" s="31" t="s">
        <v>30</v>
      </c>
      <c r="E17" s="34">
        <f>1/(1/C10+N14/N16)</f>
        <v>9.6901390117425372E-4</v>
      </c>
      <c r="F17" s="34">
        <f>1/(1/D10+COUNT(J27:J101)/N16)</f>
        <v>4.5301882149422187E-5</v>
      </c>
      <c r="G17" s="31" t="s">
        <v>32</v>
      </c>
      <c r="I17" s="31" t="s">
        <v>26</v>
      </c>
      <c r="J17" s="32">
        <v>0.92550513064483664</v>
      </c>
      <c r="K17" s="32">
        <v>5.9083714880626532E-2</v>
      </c>
      <c r="L17" s="31" t="s">
        <v>27</v>
      </c>
      <c r="M17" s="1"/>
      <c r="N17" s="10">
        <f>SUM(J27:J101)</f>
        <v>85.000000000000099</v>
      </c>
      <c r="O17" s="24" t="s">
        <v>43</v>
      </c>
      <c r="Q17" s="53"/>
      <c r="S17" s="30" t="s">
        <v>48</v>
      </c>
      <c r="T17" s="27">
        <v>0.97</v>
      </c>
      <c r="U17" s="27">
        <v>0.95</v>
      </c>
      <c r="V17" s="27">
        <v>0.91</v>
      </c>
      <c r="W17" s="27">
        <v>0.97</v>
      </c>
      <c r="X17" s="27">
        <v>0.95</v>
      </c>
    </row>
    <row r="18" spans="2:24" x14ac:dyDescent="0.25">
      <c r="B18" s="63"/>
      <c r="I18" s="31" t="s">
        <v>25</v>
      </c>
      <c r="J18" s="32">
        <v>906.9332575772911</v>
      </c>
      <c r="K18" s="31">
        <v>73</v>
      </c>
      <c r="L18" s="31" t="s">
        <v>12</v>
      </c>
      <c r="N18" s="10">
        <f>SUM(K27:K101)</f>
        <v>85.070000000000007</v>
      </c>
      <c r="O18" s="24" t="s">
        <v>44</v>
      </c>
      <c r="Q18" s="53"/>
      <c r="S18" s="30" t="s">
        <v>54</v>
      </c>
      <c r="T18" s="10">
        <f>AVERAGE(T15:X17)</f>
        <v>0.92066666666666674</v>
      </c>
    </row>
    <row r="19" spans="2:24" x14ac:dyDescent="0.25">
      <c r="B19" s="63"/>
      <c r="I19" s="33" t="s">
        <v>33</v>
      </c>
      <c r="J19" s="31">
        <v>3.1660000350877198</v>
      </c>
      <c r="K19" s="32">
        <v>0.25483463157894737</v>
      </c>
      <c r="L19" s="31" t="s">
        <v>24</v>
      </c>
      <c r="M19" s="9"/>
      <c r="N19" s="10">
        <f>N17*E15</f>
        <v>91.161303758583472</v>
      </c>
      <c r="O19" s="24" t="s">
        <v>45</v>
      </c>
      <c r="Q19" s="53"/>
      <c r="S19" s="30" t="s">
        <v>34</v>
      </c>
      <c r="T19" s="10">
        <f>DEVSQ(T15:X17)</f>
        <v>1.2293333333333319E-2</v>
      </c>
    </row>
    <row r="20" spans="2:24" x14ac:dyDescent="0.25">
      <c r="B20" s="63"/>
      <c r="I20" s="2"/>
      <c r="J20" s="1"/>
      <c r="K20" s="1"/>
      <c r="L20" s="1"/>
      <c r="N20" s="10">
        <f>N18-N19</f>
        <v>-6.0913037585834644</v>
      </c>
      <c r="O20" s="24" t="s">
        <v>41</v>
      </c>
      <c r="Q20" s="53"/>
    </row>
    <row r="21" spans="2:24" x14ac:dyDescent="0.25">
      <c r="B21" s="63"/>
      <c r="F21" s="46" t="s">
        <v>42</v>
      </c>
      <c r="G21" s="46"/>
      <c r="I21" s="46" t="s">
        <v>63</v>
      </c>
      <c r="J21" s="46"/>
      <c r="K21" s="1"/>
      <c r="L21" s="1"/>
      <c r="M21" s="1"/>
      <c r="Q21" s="53"/>
      <c r="S21" s="30" t="s">
        <v>52</v>
      </c>
      <c r="T21" s="27">
        <v>1E-3</v>
      </c>
      <c r="U21" s="1" t="s">
        <v>55</v>
      </c>
    </row>
    <row r="22" spans="2:24" x14ac:dyDescent="0.25">
      <c r="B22" s="63"/>
      <c r="E22" s="20" t="s">
        <v>29</v>
      </c>
      <c r="F22" s="10">
        <f>E15-TINV(0.05,73)*E16</f>
        <v>1.0104459427229791</v>
      </c>
      <c r="G22" s="10">
        <f>E15+TINV(0.05,73)*E16</f>
        <v>1.1345259104201588</v>
      </c>
      <c r="I22" s="10">
        <f>J15-TINV(0.05,73)*J16</f>
        <v>0.93372288467557341</v>
      </c>
      <c r="J22" s="10">
        <f>J15+TINV(0.05,73)*J16</f>
        <v>1.0660665890086367</v>
      </c>
      <c r="K22" s="35" t="s">
        <v>13</v>
      </c>
      <c r="L22" s="1"/>
      <c r="M22" s="1"/>
      <c r="N22" s="1"/>
      <c r="O22" s="1"/>
      <c r="Q22" s="53"/>
      <c r="S22" s="30" t="s">
        <v>53</v>
      </c>
      <c r="T22" s="27">
        <v>1E-3</v>
      </c>
      <c r="U22" s="1" t="s">
        <v>55</v>
      </c>
    </row>
    <row r="23" spans="2:24" x14ac:dyDescent="0.25">
      <c r="B23" s="63"/>
      <c r="E23" s="20" t="s">
        <v>64</v>
      </c>
      <c r="F23" s="10">
        <f>F15-TINV(0.05,73)*F16</f>
        <v>-9.4627904708886365E-2</v>
      </c>
      <c r="G23" s="10">
        <f>F15+TINV(0.05,73)*F16</f>
        <v>-6.7799503586005797E-2</v>
      </c>
      <c r="I23" s="10">
        <f>K15-TINV(0.05,73)*K16</f>
        <v>-7.5164780684075588E-2</v>
      </c>
      <c r="J23" s="10">
        <f>K15+TINV(0.05,73)*K16</f>
        <v>7.72700438419682E-2</v>
      </c>
      <c r="K23" s="35" t="s">
        <v>31</v>
      </c>
      <c r="L23" s="1"/>
      <c r="M23" s="1"/>
      <c r="N23" s="1"/>
      <c r="O23" s="1"/>
      <c r="Q23" s="53"/>
      <c r="S23" s="30" t="s">
        <v>56</v>
      </c>
      <c r="T23" s="5">
        <f>T21+COUNT(T15:X17)/2</f>
        <v>7.5010000000000003</v>
      </c>
    </row>
    <row r="24" spans="2:24" x14ac:dyDescent="0.25">
      <c r="B24" s="63"/>
      <c r="D24" s="26"/>
      <c r="E24" s="26"/>
      <c r="F24" s="26"/>
      <c r="G24" s="26"/>
      <c r="J24" s="1"/>
      <c r="K24" s="1"/>
      <c r="L24" s="1"/>
      <c r="M24" s="1"/>
      <c r="N24" s="1"/>
      <c r="O24" s="1"/>
      <c r="Q24" s="53"/>
      <c r="S24" s="30" t="s">
        <v>57</v>
      </c>
      <c r="T24" s="10">
        <f>T22+T19/2</f>
        <v>7.1466666666666597E-3</v>
      </c>
    </row>
    <row r="25" spans="2:24" x14ac:dyDescent="0.25">
      <c r="B25" s="63"/>
      <c r="I25" s="13"/>
      <c r="J25" s="40">
        <f>AVERAGE(J27:J101)</f>
        <v>1.1333333333333346</v>
      </c>
      <c r="K25" s="39" t="s">
        <v>72</v>
      </c>
      <c r="L25" s="39"/>
      <c r="M25" s="39"/>
      <c r="N25" s="1"/>
      <c r="O25" s="1"/>
      <c r="Q25" s="53"/>
    </row>
    <row r="26" spans="2:24" x14ac:dyDescent="0.25">
      <c r="B26" s="63"/>
      <c r="E26" s="14" t="s">
        <v>39</v>
      </c>
      <c r="F26" s="38">
        <f>C6</f>
        <v>0.9</v>
      </c>
      <c r="G26" s="38">
        <f>D6</f>
        <v>1.1000000000000001</v>
      </c>
      <c r="H26" s="38">
        <f>E6</f>
        <v>1.4</v>
      </c>
      <c r="I26" s="13"/>
      <c r="J26" s="41" t="s">
        <v>20</v>
      </c>
      <c r="K26" s="41" t="s">
        <v>21</v>
      </c>
      <c r="L26" s="41" t="s">
        <v>22</v>
      </c>
      <c r="M26" s="41" t="s">
        <v>23</v>
      </c>
      <c r="N26" s="39" t="s">
        <v>73</v>
      </c>
      <c r="O26" s="39" t="s">
        <v>74</v>
      </c>
      <c r="Q26" s="53"/>
      <c r="S26" s="45" t="s">
        <v>58</v>
      </c>
      <c r="T26" s="8">
        <f>T24/(T23-1)</f>
        <v>1.0993180536327733E-3</v>
      </c>
    </row>
    <row r="27" spans="2:24" x14ac:dyDescent="0.25">
      <c r="B27" s="63"/>
      <c r="E27" s="18" t="s">
        <v>8</v>
      </c>
      <c r="F27" s="8">
        <f>(C6/C7+COUNT(F30:F54)*AVERAGE(F30:F54)/VAR(F30:F54))/(1/C7+COUNT(F30:F54)/VAR(F30:F54))</f>
        <v>0.9125203455615376</v>
      </c>
      <c r="G27" s="8">
        <f>(D6/D7+COUNT(G30:G54)*AVERAGE(G30:G54)/VAR(G30:G54))/(1/D7+COUNT(G30:G54)/VAR(G30:G54))</f>
        <v>1.0819446507506414</v>
      </c>
      <c r="H27" s="8">
        <f>(E6/E7+COUNT(H30:H54)*AVERAGE(H30:H54)/VAR(H30:H54))/(1/E7+COUNT(H30:H54)/VAR(H30:H54))</f>
        <v>1.4083872992325905</v>
      </c>
      <c r="I27" s="13"/>
      <c r="J27" s="42">
        <f>C6</f>
        <v>0.9</v>
      </c>
      <c r="K27" s="42">
        <f t="shared" ref="K27:K51" si="0">F30</f>
        <v>0.93</v>
      </c>
      <c r="L27" s="42">
        <f t="shared" ref="L27:L58" si="1">J$15*J27+K$15</f>
        <v>0.90095789473684085</v>
      </c>
      <c r="M27" s="43">
        <f>K27-L27</f>
        <v>2.9042105263159201E-2</v>
      </c>
      <c r="N27" s="40">
        <f>L27-TINV(0.05,$K$18)*$K$17*SQRT(1/($K$18+2)+((J27-$J$25)^2)/$N$14)</f>
        <v>0.88038422981010089</v>
      </c>
      <c r="O27" s="40">
        <f>L27+TINV(0.05,$K$18)*$K$17*SQRT(1/($K$18+2)+((K27-$J$25)^2)/$N$14)</f>
        <v>0.92008678740910277</v>
      </c>
      <c r="P27" s="28"/>
      <c r="Q27" s="53"/>
      <c r="S27" s="45" t="s">
        <v>59</v>
      </c>
      <c r="T27" s="10">
        <f>SQRT(T26)</f>
        <v>3.31559655813667E-2</v>
      </c>
    </row>
    <row r="28" spans="2:24" x14ac:dyDescent="0.25">
      <c r="E28" s="19" t="s">
        <v>9</v>
      </c>
      <c r="F28" s="7">
        <f>(1/C7+COUNT(F30:F54)/VAR(F30:F54))^-1</f>
        <v>5.4620007512207309E-5</v>
      </c>
      <c r="G28" s="7">
        <f>(1/D7+COUNT(G30:G54)/VAR(G30:G54))^-1</f>
        <v>9.9022706202332481E-5</v>
      </c>
      <c r="H28" s="7">
        <f>(1/E7+COUNT(H30:H54)/VAR(H30:H54))^-1</f>
        <v>2.2979929094384347E-4</v>
      </c>
      <c r="I28" s="13"/>
      <c r="J28" s="42">
        <f>J27</f>
        <v>0.9</v>
      </c>
      <c r="K28" s="42">
        <f t="shared" si="0"/>
        <v>0.89</v>
      </c>
      <c r="L28" s="42">
        <f t="shared" si="1"/>
        <v>0.90095789473684085</v>
      </c>
      <c r="M28" s="43">
        <f t="shared" ref="M28:M91" si="2">K28-L28</f>
        <v>-1.0957894736840834E-2</v>
      </c>
      <c r="N28" s="40">
        <f t="shared" ref="N28:N91" si="3">L28-TINV(0.05,$K$18)*$K$17*SQRT(1/($K$18+2)+((J28-$J$25)^2)/$N$14)</f>
        <v>0.88038422981010089</v>
      </c>
      <c r="O28" s="40">
        <f t="shared" ref="O28:O91" si="4">L28+TINV(0.05,$K$18)*$K$17*SQRT(1/($K$18+2)+((K28-$J$25)^2)/$N$14)</f>
        <v>0.92203270336410281</v>
      </c>
      <c r="Q28" s="53"/>
      <c r="S28" s="30" t="s">
        <v>60</v>
      </c>
      <c r="T28" s="29">
        <f>T27/T13</f>
        <v>3.6839961757074109E-2</v>
      </c>
    </row>
    <row r="29" spans="2:24" x14ac:dyDescent="0.25">
      <c r="C29" s="14" t="s">
        <v>1</v>
      </c>
      <c r="D29" s="15" t="s">
        <v>0</v>
      </c>
      <c r="E29" s="16" t="s">
        <v>11</v>
      </c>
      <c r="F29" s="17" t="s">
        <v>5</v>
      </c>
      <c r="G29" s="17" t="s">
        <v>6</v>
      </c>
      <c r="H29" s="17" t="s">
        <v>7</v>
      </c>
      <c r="I29" s="13"/>
      <c r="J29" s="42">
        <f t="shared" ref="J29:J51" si="5">J28</f>
        <v>0.9</v>
      </c>
      <c r="K29" s="42">
        <f t="shared" si="0"/>
        <v>0.92</v>
      </c>
      <c r="L29" s="42">
        <f t="shared" si="1"/>
        <v>0.90095789473684085</v>
      </c>
      <c r="M29" s="43">
        <f t="shared" si="2"/>
        <v>1.9042105263159192E-2</v>
      </c>
      <c r="N29" s="40">
        <f t="shared" si="3"/>
        <v>0.88038422981010089</v>
      </c>
      <c r="O29" s="40">
        <f t="shared" si="4"/>
        <v>0.92055787373206865</v>
      </c>
    </row>
    <row r="30" spans="2:24" x14ac:dyDescent="0.25">
      <c r="C30" s="5">
        <v>1</v>
      </c>
      <c r="D30" s="47">
        <v>1</v>
      </c>
      <c r="E30" s="11">
        <v>1</v>
      </c>
      <c r="F30" s="12">
        <v>0.93</v>
      </c>
      <c r="G30" s="12">
        <v>1.1299999999999999</v>
      </c>
      <c r="H30" s="12">
        <v>1.43</v>
      </c>
      <c r="I30" s="13"/>
      <c r="J30" s="42">
        <f t="shared" si="5"/>
        <v>0.9</v>
      </c>
      <c r="K30" s="42">
        <f t="shared" si="0"/>
        <v>0.91</v>
      </c>
      <c r="L30" s="42">
        <f t="shared" si="1"/>
        <v>0.90095789473684085</v>
      </c>
      <c r="M30" s="43">
        <f t="shared" si="2"/>
        <v>9.0421052631591836E-3</v>
      </c>
      <c r="N30" s="40">
        <f t="shared" si="3"/>
        <v>0.88038422981010089</v>
      </c>
      <c r="O30" s="40">
        <f t="shared" si="4"/>
        <v>0.9210397163963332</v>
      </c>
      <c r="Q30" s="53" t="s">
        <v>75</v>
      </c>
    </row>
    <row r="31" spans="2:24" x14ac:dyDescent="0.25">
      <c r="C31" s="5">
        <v>2</v>
      </c>
      <c r="D31" s="47"/>
      <c r="E31" s="11">
        <v>2</v>
      </c>
      <c r="F31" s="12">
        <v>0.89</v>
      </c>
      <c r="G31" s="12">
        <v>1.1000000000000001</v>
      </c>
      <c r="H31" s="12">
        <v>1.33</v>
      </c>
      <c r="I31" s="13"/>
      <c r="J31" s="42">
        <f t="shared" si="5"/>
        <v>0.9</v>
      </c>
      <c r="K31" s="42">
        <f t="shared" si="0"/>
        <v>0.85</v>
      </c>
      <c r="L31" s="42">
        <f t="shared" si="1"/>
        <v>0.90095789473684085</v>
      </c>
      <c r="M31" s="43">
        <f t="shared" si="2"/>
        <v>-5.095789473684087E-2</v>
      </c>
      <c r="N31" s="40">
        <f t="shared" si="3"/>
        <v>0.88038422981010089</v>
      </c>
      <c r="O31" s="40">
        <f t="shared" si="4"/>
        <v>0.92411804299512701</v>
      </c>
      <c r="Q31" s="53"/>
      <c r="S31" s="14" t="s">
        <v>39</v>
      </c>
      <c r="T31" s="10">
        <f t="shared" ref="T31:V32" si="6">F26</f>
        <v>0.9</v>
      </c>
      <c r="U31" s="10">
        <f t="shared" si="6"/>
        <v>1.1000000000000001</v>
      </c>
      <c r="V31" s="10">
        <f t="shared" si="6"/>
        <v>1.4</v>
      </c>
    </row>
    <row r="32" spans="2:24" x14ac:dyDescent="0.25">
      <c r="C32" s="5">
        <v>3</v>
      </c>
      <c r="D32" s="47"/>
      <c r="E32" s="11">
        <v>3</v>
      </c>
      <c r="F32" s="12">
        <v>0.92</v>
      </c>
      <c r="G32" s="12">
        <v>1.02</v>
      </c>
      <c r="H32" s="12">
        <v>1.48</v>
      </c>
      <c r="I32" s="13"/>
      <c r="J32" s="42">
        <f t="shared" si="5"/>
        <v>0.9</v>
      </c>
      <c r="K32" s="42">
        <f t="shared" si="0"/>
        <v>0.84</v>
      </c>
      <c r="L32" s="42">
        <f t="shared" si="1"/>
        <v>0.90095789473684085</v>
      </c>
      <c r="M32" s="43">
        <f t="shared" si="2"/>
        <v>-6.0957894736840879E-2</v>
      </c>
      <c r="N32" s="40">
        <f t="shared" si="3"/>
        <v>0.88038422981010089</v>
      </c>
      <c r="O32" s="40">
        <f t="shared" si="4"/>
        <v>0.92465690424194236</v>
      </c>
      <c r="Q32" s="53"/>
      <c r="S32" s="18" t="s">
        <v>8</v>
      </c>
      <c r="T32" s="8">
        <f t="shared" si="6"/>
        <v>0.9125203455615376</v>
      </c>
      <c r="U32" s="8">
        <f t="shared" si="6"/>
        <v>1.0819446507506414</v>
      </c>
      <c r="V32" s="8">
        <f t="shared" si="6"/>
        <v>1.4083872992325905</v>
      </c>
    </row>
    <row r="33" spans="3:22" x14ac:dyDescent="0.25">
      <c r="C33" s="5">
        <v>4</v>
      </c>
      <c r="D33" s="47"/>
      <c r="E33" s="11">
        <v>4</v>
      </c>
      <c r="F33" s="12">
        <v>0.91</v>
      </c>
      <c r="G33" s="12">
        <v>1.06</v>
      </c>
      <c r="H33" s="12">
        <v>1.38</v>
      </c>
      <c r="I33" s="13"/>
      <c r="J33" s="42">
        <f t="shared" si="5"/>
        <v>0.9</v>
      </c>
      <c r="K33" s="42">
        <f t="shared" si="0"/>
        <v>0.96</v>
      </c>
      <c r="L33" s="42">
        <f t="shared" si="1"/>
        <v>0.90095789473684085</v>
      </c>
      <c r="M33" s="43">
        <f t="shared" si="2"/>
        <v>5.9042105263159117E-2</v>
      </c>
      <c r="N33" s="40">
        <f t="shared" si="3"/>
        <v>0.88038422981010089</v>
      </c>
      <c r="O33" s="40">
        <f t="shared" si="4"/>
        <v>0.91874651656233719</v>
      </c>
      <c r="Q33" s="53"/>
    </row>
    <row r="34" spans="3:22" ht="15" customHeight="1" x14ac:dyDescent="0.25">
      <c r="C34" s="5">
        <v>5</v>
      </c>
      <c r="D34" s="47"/>
      <c r="E34" s="11">
        <v>5</v>
      </c>
      <c r="F34" s="12">
        <v>0.85</v>
      </c>
      <c r="G34" s="12">
        <v>1.01</v>
      </c>
      <c r="H34" s="12">
        <v>1.36</v>
      </c>
      <c r="I34" s="13"/>
      <c r="J34" s="42">
        <f t="shared" si="5"/>
        <v>0.9</v>
      </c>
      <c r="K34" s="42">
        <f t="shared" si="0"/>
        <v>0.89</v>
      </c>
      <c r="L34" s="42">
        <f t="shared" si="1"/>
        <v>0.90095789473684085</v>
      </c>
      <c r="M34" s="43">
        <f t="shared" si="2"/>
        <v>-1.0957894736840834E-2</v>
      </c>
      <c r="N34" s="40">
        <f t="shared" si="3"/>
        <v>0.88038422981010089</v>
      </c>
      <c r="O34" s="40">
        <f t="shared" si="4"/>
        <v>0.92203270336410281</v>
      </c>
      <c r="Q34" s="53"/>
      <c r="S34" s="14" t="s">
        <v>69</v>
      </c>
      <c r="T34" s="10">
        <f>T32-T31</f>
        <v>1.2520345561537582E-2</v>
      </c>
      <c r="U34" s="10">
        <f>U32-U31</f>
        <v>-1.8055349249358699E-2</v>
      </c>
      <c r="V34" s="10">
        <f>V32-V31</f>
        <v>8.3872992325906282E-3</v>
      </c>
    </row>
    <row r="35" spans="3:22" x14ac:dyDescent="0.25">
      <c r="C35" s="5">
        <v>6</v>
      </c>
      <c r="D35" s="47">
        <v>2</v>
      </c>
      <c r="E35" s="11">
        <v>1</v>
      </c>
      <c r="F35" s="12">
        <v>0.84</v>
      </c>
      <c r="G35" s="12">
        <v>1.1599999999999999</v>
      </c>
      <c r="H35" s="12">
        <v>1.37</v>
      </c>
      <c r="I35" s="13"/>
      <c r="J35" s="42">
        <f t="shared" si="5"/>
        <v>0.9</v>
      </c>
      <c r="K35" s="42">
        <f t="shared" si="0"/>
        <v>0.86</v>
      </c>
      <c r="L35" s="42">
        <f t="shared" si="1"/>
        <v>0.90095789473684085</v>
      </c>
      <c r="M35" s="43">
        <f t="shared" si="2"/>
        <v>-4.0957894736840861E-2</v>
      </c>
      <c r="N35" s="40">
        <f t="shared" si="3"/>
        <v>0.88038422981010089</v>
      </c>
      <c r="O35" s="40">
        <f t="shared" si="4"/>
        <v>0.92358570121410533</v>
      </c>
      <c r="Q35" s="53"/>
      <c r="S35" s="5" t="s">
        <v>70</v>
      </c>
      <c r="T35" s="10">
        <f>T34-TINV(0.05,COUNT(F30:F54)-1)*SQRT(F28/COUNT(F30:F54))</f>
        <v>9.4696826523723021E-3</v>
      </c>
      <c r="U35" s="10">
        <f>U34-TINV(0.05,COUNT(G30:G54)-1)*SQRT(G28/COUNT(G30:G54))</f>
        <v>-2.216292649678988E-2</v>
      </c>
      <c r="V35" s="10">
        <f>V34-TINV(0.05,COUNT(H30:H54)-1)*SQRT(H28/COUNT(H30:H54))</f>
        <v>2.1299169782806994E-3</v>
      </c>
    </row>
    <row r="36" spans="3:22" x14ac:dyDescent="0.25">
      <c r="C36" s="5">
        <v>7</v>
      </c>
      <c r="D36" s="47"/>
      <c r="E36" s="11">
        <v>2</v>
      </c>
      <c r="F36" s="12">
        <v>0.96</v>
      </c>
      <c r="G36" s="12">
        <v>1.1399999999999999</v>
      </c>
      <c r="H36" s="12">
        <v>1.3</v>
      </c>
      <c r="I36" s="13"/>
      <c r="J36" s="42">
        <f t="shared" si="5"/>
        <v>0.9</v>
      </c>
      <c r="K36" s="42">
        <f t="shared" si="0"/>
        <v>0.88</v>
      </c>
      <c r="L36" s="42">
        <f t="shared" si="1"/>
        <v>0.90095789473684085</v>
      </c>
      <c r="M36" s="43">
        <f t="shared" si="2"/>
        <v>-2.0957894736840843E-2</v>
      </c>
      <c r="N36" s="40">
        <f t="shared" si="3"/>
        <v>0.88038422981010089</v>
      </c>
      <c r="O36" s="40">
        <f t="shared" si="4"/>
        <v>0.92254249970513924</v>
      </c>
      <c r="Q36" s="53"/>
      <c r="S36" s="5" t="s">
        <v>71</v>
      </c>
      <c r="T36" s="10">
        <f>T34+TINV(0.05,COUNT(F31:F55)-1)*SQRT(F28/COUNT(F31:F55))</f>
        <v>1.564109479257705E-2</v>
      </c>
      <c r="U36" s="10">
        <f>U34+TINV(0.05,COUNT(G31:G55)-1)*SQRT(G28/COUNT(G31:G55))</f>
        <v>-1.3853403994167093E-2</v>
      </c>
      <c r="V36" s="10">
        <f>V34+TINV(0.05,COUNT(H31:H55)-1)*SQRT(H28/COUNT(H31:H55))</f>
        <v>1.4788439391272036E-2</v>
      </c>
    </row>
    <row r="37" spans="3:22" x14ac:dyDescent="0.25">
      <c r="C37" s="5">
        <v>8</v>
      </c>
      <c r="D37" s="47"/>
      <c r="E37" s="11">
        <v>3</v>
      </c>
      <c r="F37" s="12">
        <v>0.89</v>
      </c>
      <c r="G37" s="12">
        <v>1.07</v>
      </c>
      <c r="H37" s="12">
        <v>1.51</v>
      </c>
      <c r="I37" s="13"/>
      <c r="J37" s="42">
        <f t="shared" si="5"/>
        <v>0.9</v>
      </c>
      <c r="K37" s="42">
        <f t="shared" si="0"/>
        <v>0.97</v>
      </c>
      <c r="L37" s="42">
        <f t="shared" si="1"/>
        <v>0.90095789473684085</v>
      </c>
      <c r="M37" s="43">
        <f t="shared" si="2"/>
        <v>6.9042105263159126E-2</v>
      </c>
      <c r="N37" s="40">
        <f t="shared" si="3"/>
        <v>0.88038422981010089</v>
      </c>
      <c r="O37" s="40">
        <f t="shared" si="4"/>
        <v>0.91832721815254681</v>
      </c>
      <c r="S37" s="1" t="s">
        <v>78</v>
      </c>
    </row>
    <row r="38" spans="3:22" x14ac:dyDescent="0.25">
      <c r="C38" s="5">
        <v>9</v>
      </c>
      <c r="D38" s="47"/>
      <c r="E38" s="11">
        <v>4</v>
      </c>
      <c r="F38" s="12">
        <v>0.86</v>
      </c>
      <c r="G38" s="12">
        <v>1.18</v>
      </c>
      <c r="H38" s="12">
        <v>1.59</v>
      </c>
      <c r="I38" s="13"/>
      <c r="J38" s="42">
        <f t="shared" si="5"/>
        <v>0.9</v>
      </c>
      <c r="K38" s="42">
        <f t="shared" si="0"/>
        <v>0.95</v>
      </c>
      <c r="L38" s="42">
        <f t="shared" si="1"/>
        <v>0.90095789473684085</v>
      </c>
      <c r="M38" s="43">
        <f t="shared" si="2"/>
        <v>4.9042105263159108E-2</v>
      </c>
      <c r="N38" s="40">
        <f t="shared" si="3"/>
        <v>0.88038422981010089</v>
      </c>
      <c r="O38" s="40">
        <f t="shared" si="4"/>
        <v>0.91918020193942895</v>
      </c>
    </row>
    <row r="39" spans="3:22" x14ac:dyDescent="0.25">
      <c r="C39" s="5">
        <v>10</v>
      </c>
      <c r="D39" s="47"/>
      <c r="E39" s="11">
        <v>5</v>
      </c>
      <c r="F39" s="12">
        <v>0.88</v>
      </c>
      <c r="G39" s="12">
        <v>1.1200000000000001</v>
      </c>
      <c r="H39" s="12">
        <v>1.51</v>
      </c>
      <c r="I39" s="13"/>
      <c r="J39" s="42">
        <f t="shared" si="5"/>
        <v>0.9</v>
      </c>
      <c r="K39" s="42">
        <f t="shared" si="0"/>
        <v>0.94</v>
      </c>
      <c r="L39" s="42">
        <f t="shared" si="1"/>
        <v>0.90095789473684085</v>
      </c>
      <c r="M39" s="43">
        <f t="shared" si="2"/>
        <v>3.9042105263159099E-2</v>
      </c>
      <c r="N39" s="40">
        <f t="shared" si="3"/>
        <v>0.88038422981010089</v>
      </c>
      <c r="O39" s="40">
        <f t="shared" si="4"/>
        <v>0.91962727169281577</v>
      </c>
    </row>
    <row r="40" spans="3:22" x14ac:dyDescent="0.25">
      <c r="C40" s="5">
        <v>11</v>
      </c>
      <c r="D40" s="47">
        <v>3</v>
      </c>
      <c r="E40" s="11">
        <v>1</v>
      </c>
      <c r="F40" s="12">
        <v>0.97</v>
      </c>
      <c r="G40" s="12">
        <v>1.05</v>
      </c>
      <c r="H40" s="12">
        <v>1.31</v>
      </c>
      <c r="I40" s="13"/>
      <c r="J40" s="42">
        <f t="shared" si="5"/>
        <v>0.9</v>
      </c>
      <c r="K40" s="42">
        <f t="shared" si="0"/>
        <v>0.93</v>
      </c>
      <c r="L40" s="42">
        <f t="shared" si="1"/>
        <v>0.90095789473684085</v>
      </c>
      <c r="M40" s="43">
        <f t="shared" si="2"/>
        <v>2.9042105263159201E-2</v>
      </c>
      <c r="N40" s="40">
        <f t="shared" si="3"/>
        <v>0.88038422981010089</v>
      </c>
      <c r="O40" s="40">
        <f t="shared" si="4"/>
        <v>0.92008678740910277</v>
      </c>
    </row>
    <row r="41" spans="3:22" x14ac:dyDescent="0.25">
      <c r="C41" s="5">
        <v>12</v>
      </c>
      <c r="D41" s="47"/>
      <c r="E41" s="11">
        <v>2</v>
      </c>
      <c r="F41" s="12">
        <v>0.95</v>
      </c>
      <c r="G41" s="12">
        <v>1.1399999999999999</v>
      </c>
      <c r="H41" s="12">
        <v>1.38</v>
      </c>
      <c r="I41" s="13"/>
      <c r="J41" s="42">
        <f t="shared" si="5"/>
        <v>0.9</v>
      </c>
      <c r="K41" s="42">
        <f t="shared" si="0"/>
        <v>0.9</v>
      </c>
      <c r="L41" s="42">
        <f t="shared" si="1"/>
        <v>0.90095789473684085</v>
      </c>
      <c r="M41" s="43">
        <f t="shared" si="2"/>
        <v>-9.5789473684082527E-4</v>
      </c>
      <c r="N41" s="40">
        <f t="shared" si="3"/>
        <v>0.88038422981010089</v>
      </c>
      <c r="O41" s="40">
        <f t="shared" si="4"/>
        <v>0.9215315596635808</v>
      </c>
    </row>
    <row r="42" spans="3:22" x14ac:dyDescent="0.25">
      <c r="C42" s="5">
        <v>13</v>
      </c>
      <c r="D42" s="47"/>
      <c r="E42" s="11">
        <v>3</v>
      </c>
      <c r="F42" s="12">
        <v>0.94</v>
      </c>
      <c r="G42" s="12">
        <v>1.02</v>
      </c>
      <c r="H42" s="12">
        <v>1.38</v>
      </c>
      <c r="I42" s="13"/>
      <c r="J42" s="42">
        <f t="shared" si="5"/>
        <v>0.9</v>
      </c>
      <c r="K42" s="42">
        <f t="shared" si="0"/>
        <v>0.94</v>
      </c>
      <c r="L42" s="42">
        <f t="shared" si="1"/>
        <v>0.90095789473684085</v>
      </c>
      <c r="M42" s="43">
        <f t="shared" si="2"/>
        <v>3.9042105263159099E-2</v>
      </c>
      <c r="N42" s="40">
        <f t="shared" si="3"/>
        <v>0.88038422981010089</v>
      </c>
      <c r="O42" s="40">
        <f t="shared" si="4"/>
        <v>0.91962727169281577</v>
      </c>
    </row>
    <row r="43" spans="3:22" x14ac:dyDescent="0.25">
      <c r="C43" s="5">
        <v>14</v>
      </c>
      <c r="D43" s="47"/>
      <c r="E43" s="11">
        <v>4</v>
      </c>
      <c r="F43" s="12">
        <v>0.93</v>
      </c>
      <c r="G43" s="12">
        <v>1.1100000000000001</v>
      </c>
      <c r="H43" s="12">
        <v>1.49</v>
      </c>
      <c r="I43" s="13"/>
      <c r="J43" s="42">
        <f t="shared" si="5"/>
        <v>0.9</v>
      </c>
      <c r="K43" s="42">
        <f t="shared" si="0"/>
        <v>0.95</v>
      </c>
      <c r="L43" s="42">
        <f t="shared" si="1"/>
        <v>0.90095789473684085</v>
      </c>
      <c r="M43" s="43">
        <f t="shared" si="2"/>
        <v>4.9042105263159108E-2</v>
      </c>
      <c r="N43" s="40">
        <f t="shared" si="3"/>
        <v>0.88038422981010089</v>
      </c>
      <c r="O43" s="40">
        <f t="shared" si="4"/>
        <v>0.91918020193942895</v>
      </c>
    </row>
    <row r="44" spans="3:22" x14ac:dyDescent="0.25">
      <c r="C44" s="5">
        <v>15</v>
      </c>
      <c r="D44" s="47"/>
      <c r="E44" s="11">
        <v>5</v>
      </c>
      <c r="F44" s="12">
        <v>0.9</v>
      </c>
      <c r="G44" s="12">
        <v>1.01</v>
      </c>
      <c r="H44" s="12">
        <v>1.31</v>
      </c>
      <c r="I44" s="13"/>
      <c r="J44" s="42">
        <f t="shared" si="5"/>
        <v>0.9</v>
      </c>
      <c r="K44" s="42">
        <f t="shared" si="0"/>
        <v>0.92</v>
      </c>
      <c r="L44" s="42">
        <f t="shared" si="1"/>
        <v>0.90095789473684085</v>
      </c>
      <c r="M44" s="43">
        <f t="shared" si="2"/>
        <v>1.9042105263159192E-2</v>
      </c>
      <c r="N44" s="40">
        <f t="shared" si="3"/>
        <v>0.88038422981010089</v>
      </c>
      <c r="O44" s="40">
        <f t="shared" si="4"/>
        <v>0.92055787373206865</v>
      </c>
    </row>
    <row r="45" spans="3:22" x14ac:dyDescent="0.25">
      <c r="C45" s="5">
        <v>16</v>
      </c>
      <c r="D45" s="47">
        <v>4</v>
      </c>
      <c r="E45" s="11">
        <v>1</v>
      </c>
      <c r="F45" s="12">
        <v>0.94</v>
      </c>
      <c r="G45" s="12">
        <v>1.08</v>
      </c>
      <c r="H45" s="12">
        <v>1.53</v>
      </c>
      <c r="I45" s="13"/>
      <c r="J45" s="42">
        <f t="shared" si="5"/>
        <v>0.9</v>
      </c>
      <c r="K45" s="42">
        <f t="shared" si="0"/>
        <v>0.92</v>
      </c>
      <c r="L45" s="42">
        <f t="shared" si="1"/>
        <v>0.90095789473684085</v>
      </c>
      <c r="M45" s="43">
        <f t="shared" si="2"/>
        <v>1.9042105263159192E-2</v>
      </c>
      <c r="N45" s="40">
        <f t="shared" si="3"/>
        <v>0.88038422981010089</v>
      </c>
      <c r="O45" s="40">
        <f t="shared" si="4"/>
        <v>0.92055787373206865</v>
      </c>
    </row>
    <row r="46" spans="3:22" x14ac:dyDescent="0.25">
      <c r="C46" s="5">
        <v>17</v>
      </c>
      <c r="D46" s="47"/>
      <c r="E46" s="11">
        <v>2</v>
      </c>
      <c r="F46" s="12">
        <v>0.95</v>
      </c>
      <c r="G46" s="12">
        <v>1.01</v>
      </c>
      <c r="H46" s="12">
        <v>1.43</v>
      </c>
      <c r="I46" s="13"/>
      <c r="J46" s="42">
        <f t="shared" si="5"/>
        <v>0.9</v>
      </c>
      <c r="K46" s="42">
        <f t="shared" si="0"/>
        <v>0.88</v>
      </c>
      <c r="L46" s="42">
        <f t="shared" si="1"/>
        <v>0.90095789473684085</v>
      </c>
      <c r="M46" s="43">
        <f t="shared" si="2"/>
        <v>-2.0957894736840843E-2</v>
      </c>
      <c r="N46" s="40">
        <f t="shared" si="3"/>
        <v>0.88038422981010089</v>
      </c>
      <c r="O46" s="40">
        <f t="shared" si="4"/>
        <v>0.92254249970513924</v>
      </c>
    </row>
    <row r="47" spans="3:22" x14ac:dyDescent="0.25">
      <c r="C47" s="5">
        <v>18</v>
      </c>
      <c r="D47" s="47"/>
      <c r="E47" s="11">
        <v>3</v>
      </c>
      <c r="F47" s="12">
        <v>0.92</v>
      </c>
      <c r="G47" s="12">
        <v>1.04</v>
      </c>
      <c r="H47" s="12">
        <v>1.32</v>
      </c>
      <c r="I47" s="13"/>
      <c r="J47" s="42">
        <f t="shared" si="5"/>
        <v>0.9</v>
      </c>
      <c r="K47" s="42">
        <f t="shared" si="0"/>
        <v>0.89</v>
      </c>
      <c r="L47" s="42">
        <f t="shared" si="1"/>
        <v>0.90095789473684085</v>
      </c>
      <c r="M47" s="43">
        <f t="shared" si="2"/>
        <v>-1.0957894736840834E-2</v>
      </c>
      <c r="N47" s="40">
        <f t="shared" si="3"/>
        <v>0.88038422981010089</v>
      </c>
      <c r="O47" s="40">
        <f t="shared" si="4"/>
        <v>0.92203270336410281</v>
      </c>
    </row>
    <row r="48" spans="3:22" x14ac:dyDescent="0.25">
      <c r="C48" s="5">
        <v>19</v>
      </c>
      <c r="D48" s="47"/>
      <c r="E48" s="11">
        <v>4</v>
      </c>
      <c r="F48" s="12">
        <v>0.92</v>
      </c>
      <c r="G48" s="12">
        <v>1.1299999999999999</v>
      </c>
      <c r="H48" s="12">
        <v>1.4</v>
      </c>
      <c r="I48" s="13"/>
      <c r="J48" s="42">
        <f t="shared" si="5"/>
        <v>0.9</v>
      </c>
      <c r="K48" s="42">
        <f t="shared" si="0"/>
        <v>0.91</v>
      </c>
      <c r="L48" s="42">
        <f t="shared" si="1"/>
        <v>0.90095789473684085</v>
      </c>
      <c r="M48" s="43">
        <f t="shared" si="2"/>
        <v>9.0421052631591836E-3</v>
      </c>
      <c r="N48" s="40">
        <f t="shared" si="3"/>
        <v>0.88038422981010089</v>
      </c>
      <c r="O48" s="40">
        <f t="shared" si="4"/>
        <v>0.9210397163963332</v>
      </c>
    </row>
    <row r="49" spans="3:15" x14ac:dyDescent="0.25">
      <c r="C49" s="5">
        <v>20</v>
      </c>
      <c r="D49" s="47"/>
      <c r="E49" s="11">
        <v>5</v>
      </c>
      <c r="F49" s="12">
        <v>0.88</v>
      </c>
      <c r="G49" s="12">
        <v>1.08</v>
      </c>
      <c r="H49" s="12">
        <v>1.49</v>
      </c>
      <c r="I49" s="13"/>
      <c r="J49" s="42">
        <f t="shared" si="5"/>
        <v>0.9</v>
      </c>
      <c r="K49" s="42">
        <f t="shared" si="0"/>
        <v>0.94</v>
      </c>
      <c r="L49" s="42">
        <f t="shared" si="1"/>
        <v>0.90095789473684085</v>
      </c>
      <c r="M49" s="43">
        <f t="shared" si="2"/>
        <v>3.9042105263159099E-2</v>
      </c>
      <c r="N49" s="40">
        <f t="shared" si="3"/>
        <v>0.88038422981010089</v>
      </c>
      <c r="O49" s="40">
        <f t="shared" si="4"/>
        <v>0.91962727169281577</v>
      </c>
    </row>
    <row r="50" spans="3:15" x14ac:dyDescent="0.25">
      <c r="C50" s="5">
        <v>21</v>
      </c>
      <c r="D50" s="47">
        <v>5</v>
      </c>
      <c r="E50" s="11">
        <v>1</v>
      </c>
      <c r="F50" s="12">
        <v>0.89</v>
      </c>
      <c r="G50" s="12">
        <v>1.03</v>
      </c>
      <c r="H50" s="12">
        <v>1.42</v>
      </c>
      <c r="J50" s="42">
        <f t="shared" si="5"/>
        <v>0.9</v>
      </c>
      <c r="K50" s="42">
        <f t="shared" si="0"/>
        <v>0.98</v>
      </c>
      <c r="L50" s="42">
        <f t="shared" si="1"/>
        <v>0.90095789473684085</v>
      </c>
      <c r="M50" s="43">
        <f t="shared" si="2"/>
        <v>7.9042105263159135E-2</v>
      </c>
      <c r="N50" s="40">
        <f t="shared" si="3"/>
        <v>0.88038422981010089</v>
      </c>
      <c r="O50" s="40">
        <f t="shared" si="4"/>
        <v>0.91792337345664377</v>
      </c>
    </row>
    <row r="51" spans="3:15" x14ac:dyDescent="0.25">
      <c r="C51" s="5">
        <v>22</v>
      </c>
      <c r="D51" s="47"/>
      <c r="E51" s="11">
        <v>2</v>
      </c>
      <c r="F51" s="12">
        <v>0.91</v>
      </c>
      <c r="G51" s="12">
        <v>1.04</v>
      </c>
      <c r="H51" s="12">
        <v>1.37</v>
      </c>
      <c r="J51" s="42">
        <f t="shared" si="5"/>
        <v>0.9</v>
      </c>
      <c r="K51" s="42">
        <f t="shared" si="0"/>
        <v>0.87</v>
      </c>
      <c r="L51" s="42">
        <f t="shared" si="1"/>
        <v>0.90095789473684085</v>
      </c>
      <c r="M51" s="43">
        <f t="shared" si="2"/>
        <v>-3.0957894736840852E-2</v>
      </c>
      <c r="N51" s="40">
        <f t="shared" si="3"/>
        <v>0.88038422981010089</v>
      </c>
      <c r="O51" s="40">
        <f t="shared" si="4"/>
        <v>0.9230603499715675</v>
      </c>
    </row>
    <row r="52" spans="3:15" x14ac:dyDescent="0.25">
      <c r="C52" s="5">
        <v>23</v>
      </c>
      <c r="D52" s="47"/>
      <c r="E52" s="11">
        <v>3</v>
      </c>
      <c r="F52" s="12">
        <v>0.94</v>
      </c>
      <c r="G52" s="12">
        <v>1.1100000000000001</v>
      </c>
      <c r="H52" s="12">
        <v>1.37</v>
      </c>
      <c r="J52" s="42">
        <f>D6</f>
        <v>1.1000000000000001</v>
      </c>
      <c r="K52" s="42">
        <f t="shared" ref="K52:K76" si="7">G30</f>
        <v>1.1299999999999999</v>
      </c>
      <c r="L52" s="42">
        <f t="shared" si="1"/>
        <v>1.1009368421052619</v>
      </c>
      <c r="M52" s="43">
        <f t="shared" si="2"/>
        <v>2.9063157894738012E-2</v>
      </c>
      <c r="N52" s="40">
        <f t="shared" si="3"/>
        <v>1.087162072627585</v>
      </c>
      <c r="O52" s="40">
        <f t="shared" si="4"/>
        <v>1.1145356541394829</v>
      </c>
    </row>
    <row r="53" spans="3:15" x14ac:dyDescent="0.25">
      <c r="C53" s="5">
        <v>24</v>
      </c>
      <c r="D53" s="47"/>
      <c r="E53" s="11">
        <v>4</v>
      </c>
      <c r="F53" s="12">
        <v>0.98</v>
      </c>
      <c r="G53" s="12">
        <v>1.0900000000000001</v>
      </c>
      <c r="H53" s="12">
        <v>1.4</v>
      </c>
      <c r="J53" s="42">
        <f>J52</f>
        <v>1.1000000000000001</v>
      </c>
      <c r="K53" s="42">
        <f t="shared" si="7"/>
        <v>1.1000000000000001</v>
      </c>
      <c r="L53" s="42">
        <f t="shared" si="1"/>
        <v>1.1009368421052619</v>
      </c>
      <c r="M53" s="43">
        <f t="shared" si="2"/>
        <v>-9.3684210526179257E-4</v>
      </c>
      <c r="N53" s="40">
        <f t="shared" si="3"/>
        <v>1.087162072627585</v>
      </c>
      <c r="O53" s="40">
        <f t="shared" si="4"/>
        <v>1.1147116115829387</v>
      </c>
    </row>
    <row r="54" spans="3:15" x14ac:dyDescent="0.25">
      <c r="C54" s="5">
        <v>25</v>
      </c>
      <c r="D54" s="47"/>
      <c r="E54" s="11">
        <v>5</v>
      </c>
      <c r="F54" s="12">
        <v>0.87</v>
      </c>
      <c r="G54" s="12">
        <v>1.1000000000000001</v>
      </c>
      <c r="H54" s="12">
        <v>1.36</v>
      </c>
      <c r="J54" s="42">
        <f t="shared" ref="J54:J76" si="8">J53</f>
        <v>1.1000000000000001</v>
      </c>
      <c r="K54" s="42">
        <f t="shared" si="7"/>
        <v>1.02</v>
      </c>
      <c r="L54" s="42">
        <f t="shared" si="1"/>
        <v>1.1009368421052619</v>
      </c>
      <c r="M54" s="43">
        <f t="shared" si="2"/>
        <v>-8.0936842105261864E-2</v>
      </c>
      <c r="N54" s="40">
        <f t="shared" si="3"/>
        <v>1.087162072627585</v>
      </c>
      <c r="O54" s="40">
        <f t="shared" si="4"/>
        <v>1.1164649194273633</v>
      </c>
    </row>
    <row r="55" spans="3:15" x14ac:dyDescent="0.25">
      <c r="J55" s="42">
        <f t="shared" si="8"/>
        <v>1.1000000000000001</v>
      </c>
      <c r="K55" s="42">
        <f t="shared" si="7"/>
        <v>1.06</v>
      </c>
      <c r="L55" s="42">
        <f t="shared" si="1"/>
        <v>1.1009368421052619</v>
      </c>
      <c r="M55" s="43">
        <f t="shared" si="2"/>
        <v>-4.0936842105261828E-2</v>
      </c>
      <c r="N55" s="40">
        <f t="shared" si="3"/>
        <v>1.087162072627585</v>
      </c>
      <c r="O55" s="40">
        <f t="shared" si="4"/>
        <v>1.1153738358128005</v>
      </c>
    </row>
    <row r="56" spans="3:15" x14ac:dyDescent="0.25">
      <c r="J56" s="42">
        <f t="shared" si="8"/>
        <v>1.1000000000000001</v>
      </c>
      <c r="K56" s="42">
        <f t="shared" si="7"/>
        <v>1.01</v>
      </c>
      <c r="L56" s="42">
        <f t="shared" si="1"/>
        <v>1.1009368421052619</v>
      </c>
      <c r="M56" s="43">
        <f t="shared" si="2"/>
        <v>-9.0936842105261873E-2</v>
      </c>
      <c r="N56" s="40">
        <f t="shared" si="3"/>
        <v>1.087162072627585</v>
      </c>
      <c r="O56" s="40">
        <f t="shared" si="4"/>
        <v>1.1167950936429676</v>
      </c>
    </row>
    <row r="57" spans="3:15" x14ac:dyDescent="0.25">
      <c r="J57" s="42">
        <f t="shared" si="8"/>
        <v>1.1000000000000001</v>
      </c>
      <c r="K57" s="42">
        <f t="shared" si="7"/>
        <v>1.1599999999999999</v>
      </c>
      <c r="L57" s="42">
        <f t="shared" si="1"/>
        <v>1.1009368421052619</v>
      </c>
      <c r="M57" s="43">
        <f t="shared" si="2"/>
        <v>5.9063157894738039E-2</v>
      </c>
      <c r="N57" s="40">
        <f t="shared" si="3"/>
        <v>1.087162072627585</v>
      </c>
      <c r="O57" s="40">
        <f t="shared" si="4"/>
        <v>1.1146478883292186</v>
      </c>
    </row>
    <row r="58" spans="3:15" x14ac:dyDescent="0.25">
      <c r="J58" s="42">
        <f t="shared" si="8"/>
        <v>1.1000000000000001</v>
      </c>
      <c r="K58" s="42">
        <f t="shared" si="7"/>
        <v>1.1399999999999999</v>
      </c>
      <c r="L58" s="42">
        <f t="shared" si="1"/>
        <v>1.1009368421052619</v>
      </c>
      <c r="M58" s="43">
        <f t="shared" si="2"/>
        <v>3.9063157894738021E-2</v>
      </c>
      <c r="N58" s="40">
        <f t="shared" si="3"/>
        <v>1.087162072627585</v>
      </c>
      <c r="O58" s="40">
        <f t="shared" si="4"/>
        <v>1.1145410196208652</v>
      </c>
    </row>
    <row r="59" spans="3:15" x14ac:dyDescent="0.25">
      <c r="J59" s="42">
        <f t="shared" si="8"/>
        <v>1.1000000000000001</v>
      </c>
      <c r="K59" s="42">
        <f t="shared" si="7"/>
        <v>1.07</v>
      </c>
      <c r="L59" s="42">
        <f t="shared" ref="L59:L90" si="9">J$15*J59+K$15</f>
        <v>1.1009368421052619</v>
      </c>
      <c r="M59" s="43">
        <f t="shared" si="2"/>
        <v>-3.0936842105261819E-2</v>
      </c>
      <c r="N59" s="40">
        <f t="shared" si="3"/>
        <v>1.087162072627585</v>
      </c>
      <c r="O59" s="40">
        <f t="shared" si="4"/>
        <v>1.1151650726635103</v>
      </c>
    </row>
    <row r="60" spans="3:15" x14ac:dyDescent="0.25">
      <c r="J60" s="42">
        <f t="shared" si="8"/>
        <v>1.1000000000000001</v>
      </c>
      <c r="K60" s="42">
        <f t="shared" si="7"/>
        <v>1.18</v>
      </c>
      <c r="L60" s="42">
        <f t="shared" si="9"/>
        <v>1.1009368421052619</v>
      </c>
      <c r="M60" s="43">
        <f t="shared" si="2"/>
        <v>7.9063157894738056E-2</v>
      </c>
      <c r="N60" s="40">
        <f t="shared" si="3"/>
        <v>1.087162072627585</v>
      </c>
      <c r="O60" s="40">
        <f t="shared" si="4"/>
        <v>1.1148801165574926</v>
      </c>
    </row>
    <row r="61" spans="3:15" x14ac:dyDescent="0.25">
      <c r="J61" s="42">
        <f t="shared" si="8"/>
        <v>1.1000000000000001</v>
      </c>
      <c r="K61" s="42">
        <f t="shared" si="7"/>
        <v>1.1200000000000001</v>
      </c>
      <c r="L61" s="42">
        <f t="shared" si="9"/>
        <v>1.1009368421052619</v>
      </c>
      <c r="M61" s="43">
        <f t="shared" si="2"/>
        <v>1.9063157894738225E-2</v>
      </c>
      <c r="N61" s="40">
        <f t="shared" si="3"/>
        <v>1.087162072627585</v>
      </c>
      <c r="O61" s="40">
        <f t="shared" si="4"/>
        <v>1.1145624604182756</v>
      </c>
    </row>
    <row r="62" spans="3:15" x14ac:dyDescent="0.25">
      <c r="J62" s="42">
        <f t="shared" si="8"/>
        <v>1.1000000000000001</v>
      </c>
      <c r="K62" s="42">
        <f t="shared" si="7"/>
        <v>1.05</v>
      </c>
      <c r="L62" s="42">
        <f t="shared" si="9"/>
        <v>1.1009368421052619</v>
      </c>
      <c r="M62" s="43">
        <f t="shared" si="2"/>
        <v>-5.0936842105261837E-2</v>
      </c>
      <c r="N62" s="40">
        <f t="shared" si="3"/>
        <v>1.087162072627585</v>
      </c>
      <c r="O62" s="40">
        <f t="shared" si="4"/>
        <v>1.1156094960099983</v>
      </c>
    </row>
    <row r="63" spans="3:15" x14ac:dyDescent="0.25">
      <c r="J63" s="42">
        <f t="shared" si="8"/>
        <v>1.1000000000000001</v>
      </c>
      <c r="K63" s="42">
        <f t="shared" si="7"/>
        <v>1.1399999999999999</v>
      </c>
      <c r="L63" s="42">
        <f t="shared" si="9"/>
        <v>1.1009368421052619</v>
      </c>
      <c r="M63" s="43">
        <f t="shared" si="2"/>
        <v>3.9063157894738021E-2</v>
      </c>
      <c r="N63" s="40">
        <f t="shared" si="3"/>
        <v>1.087162072627585</v>
      </c>
      <c r="O63" s="40">
        <f t="shared" si="4"/>
        <v>1.1145410196208652</v>
      </c>
    </row>
    <row r="64" spans="3:15" x14ac:dyDescent="0.25">
      <c r="J64" s="42">
        <f t="shared" si="8"/>
        <v>1.1000000000000001</v>
      </c>
      <c r="K64" s="42">
        <f t="shared" si="7"/>
        <v>1.02</v>
      </c>
      <c r="L64" s="42">
        <f t="shared" si="9"/>
        <v>1.1009368421052619</v>
      </c>
      <c r="M64" s="43">
        <f t="shared" si="2"/>
        <v>-8.0936842105261864E-2</v>
      </c>
      <c r="N64" s="40">
        <f t="shared" si="3"/>
        <v>1.087162072627585</v>
      </c>
      <c r="O64" s="40">
        <f t="shared" si="4"/>
        <v>1.1164649194273633</v>
      </c>
    </row>
    <row r="65" spans="10:15" x14ac:dyDescent="0.25">
      <c r="J65" s="42">
        <f t="shared" si="8"/>
        <v>1.1000000000000001</v>
      </c>
      <c r="K65" s="42">
        <f t="shared" si="7"/>
        <v>1.1100000000000001</v>
      </c>
      <c r="L65" s="42">
        <f t="shared" si="9"/>
        <v>1.1009368421052619</v>
      </c>
      <c r="M65" s="43">
        <f t="shared" si="2"/>
        <v>9.0631578947382163E-3</v>
      </c>
      <c r="N65" s="40">
        <f t="shared" si="3"/>
        <v>1.087162072627585</v>
      </c>
      <c r="O65" s="40">
        <f t="shared" si="4"/>
        <v>1.1146212493955181</v>
      </c>
    </row>
    <row r="66" spans="10:15" x14ac:dyDescent="0.25">
      <c r="J66" s="42">
        <f t="shared" si="8"/>
        <v>1.1000000000000001</v>
      </c>
      <c r="K66" s="42">
        <f t="shared" si="7"/>
        <v>1.01</v>
      </c>
      <c r="L66" s="42">
        <f t="shared" si="9"/>
        <v>1.1009368421052619</v>
      </c>
      <c r="M66" s="43">
        <f t="shared" si="2"/>
        <v>-9.0936842105261873E-2</v>
      </c>
      <c r="N66" s="40">
        <f t="shared" si="3"/>
        <v>1.087162072627585</v>
      </c>
      <c r="O66" s="40">
        <f t="shared" si="4"/>
        <v>1.1167950936429676</v>
      </c>
    </row>
    <row r="67" spans="10:15" x14ac:dyDescent="0.25">
      <c r="J67" s="42">
        <f t="shared" si="8"/>
        <v>1.1000000000000001</v>
      </c>
      <c r="K67" s="42">
        <f t="shared" si="7"/>
        <v>1.08</v>
      </c>
      <c r="L67" s="42">
        <f t="shared" si="9"/>
        <v>1.1009368421052619</v>
      </c>
      <c r="M67" s="43">
        <f t="shared" si="2"/>
        <v>-2.093684210526181E-2</v>
      </c>
      <c r="N67" s="40">
        <f t="shared" si="3"/>
        <v>1.087162072627585</v>
      </c>
      <c r="O67" s="40">
        <f t="shared" si="4"/>
        <v>1.1149844057776452</v>
      </c>
    </row>
    <row r="68" spans="10:15" x14ac:dyDescent="0.25">
      <c r="J68" s="42">
        <f t="shared" si="8"/>
        <v>1.1000000000000001</v>
      </c>
      <c r="K68" s="42">
        <f t="shared" si="7"/>
        <v>1.01</v>
      </c>
      <c r="L68" s="42">
        <f t="shared" si="9"/>
        <v>1.1009368421052619</v>
      </c>
      <c r="M68" s="43">
        <f t="shared" si="2"/>
        <v>-9.0936842105261873E-2</v>
      </c>
      <c r="N68" s="40">
        <f t="shared" si="3"/>
        <v>1.087162072627585</v>
      </c>
      <c r="O68" s="40">
        <f t="shared" si="4"/>
        <v>1.1167950936429676</v>
      </c>
    </row>
    <row r="69" spans="10:15" x14ac:dyDescent="0.25">
      <c r="J69" s="42">
        <f t="shared" si="8"/>
        <v>1.1000000000000001</v>
      </c>
      <c r="K69" s="42">
        <f t="shared" si="7"/>
        <v>1.04</v>
      </c>
      <c r="L69" s="42">
        <f t="shared" si="9"/>
        <v>1.1009368421052619</v>
      </c>
      <c r="M69" s="43">
        <f t="shared" si="2"/>
        <v>-6.0936842105261846E-2</v>
      </c>
      <c r="N69" s="40">
        <f t="shared" si="3"/>
        <v>1.087162072627585</v>
      </c>
      <c r="O69" s="40">
        <f t="shared" si="4"/>
        <v>1.1158707799887766</v>
      </c>
    </row>
    <row r="70" spans="10:15" x14ac:dyDescent="0.25">
      <c r="J70" s="42">
        <f t="shared" si="8"/>
        <v>1.1000000000000001</v>
      </c>
      <c r="K70" s="42">
        <f t="shared" si="7"/>
        <v>1.1299999999999999</v>
      </c>
      <c r="L70" s="42">
        <f t="shared" si="9"/>
        <v>1.1009368421052619</v>
      </c>
      <c r="M70" s="43">
        <f t="shared" si="2"/>
        <v>2.9063157894738012E-2</v>
      </c>
      <c r="N70" s="40">
        <f t="shared" si="3"/>
        <v>1.087162072627585</v>
      </c>
      <c r="O70" s="40">
        <f t="shared" si="4"/>
        <v>1.1145356541394829</v>
      </c>
    </row>
    <row r="71" spans="10:15" x14ac:dyDescent="0.25">
      <c r="J71" s="42">
        <f t="shared" si="8"/>
        <v>1.1000000000000001</v>
      </c>
      <c r="K71" s="42">
        <f t="shared" si="7"/>
        <v>1.08</v>
      </c>
      <c r="L71" s="42">
        <f t="shared" si="9"/>
        <v>1.1009368421052619</v>
      </c>
      <c r="M71" s="43">
        <f t="shared" si="2"/>
        <v>-2.093684210526181E-2</v>
      </c>
      <c r="N71" s="40">
        <f t="shared" si="3"/>
        <v>1.087162072627585</v>
      </c>
      <c r="O71" s="40">
        <f t="shared" si="4"/>
        <v>1.1149844057776452</v>
      </c>
    </row>
    <row r="72" spans="10:15" x14ac:dyDescent="0.25">
      <c r="J72" s="42">
        <f t="shared" si="8"/>
        <v>1.1000000000000001</v>
      </c>
      <c r="K72" s="42">
        <f t="shared" si="7"/>
        <v>1.03</v>
      </c>
      <c r="L72" s="42">
        <f t="shared" si="9"/>
        <v>1.1009368421052619</v>
      </c>
      <c r="M72" s="43">
        <f t="shared" si="2"/>
        <v>-7.0936842105261855E-2</v>
      </c>
      <c r="N72" s="40">
        <f t="shared" si="3"/>
        <v>1.087162072627585</v>
      </c>
      <c r="O72" s="40">
        <f t="shared" si="4"/>
        <v>1.1161563681035642</v>
      </c>
    </row>
    <row r="73" spans="10:15" x14ac:dyDescent="0.25">
      <c r="J73" s="42">
        <f t="shared" si="8"/>
        <v>1.1000000000000001</v>
      </c>
      <c r="K73" s="42">
        <f t="shared" si="7"/>
        <v>1.04</v>
      </c>
      <c r="L73" s="42">
        <f t="shared" si="9"/>
        <v>1.1009368421052619</v>
      </c>
      <c r="M73" s="43">
        <f t="shared" si="2"/>
        <v>-6.0936842105261846E-2</v>
      </c>
      <c r="N73" s="40">
        <f t="shared" si="3"/>
        <v>1.087162072627585</v>
      </c>
      <c r="O73" s="40">
        <f t="shared" si="4"/>
        <v>1.1158707799887766</v>
      </c>
    </row>
    <row r="74" spans="10:15" x14ac:dyDescent="0.25">
      <c r="J74" s="42">
        <f t="shared" si="8"/>
        <v>1.1000000000000001</v>
      </c>
      <c r="K74" s="42">
        <f t="shared" si="7"/>
        <v>1.1100000000000001</v>
      </c>
      <c r="L74" s="42">
        <f t="shared" si="9"/>
        <v>1.1009368421052619</v>
      </c>
      <c r="M74" s="43">
        <f t="shared" si="2"/>
        <v>9.0631578947382163E-3</v>
      </c>
      <c r="N74" s="40">
        <f t="shared" si="3"/>
        <v>1.087162072627585</v>
      </c>
      <c r="O74" s="40">
        <f t="shared" si="4"/>
        <v>1.1146212493955181</v>
      </c>
    </row>
    <row r="75" spans="10:15" x14ac:dyDescent="0.25">
      <c r="J75" s="42">
        <f t="shared" si="8"/>
        <v>1.1000000000000001</v>
      </c>
      <c r="K75" s="42">
        <f t="shared" si="7"/>
        <v>1.0900000000000001</v>
      </c>
      <c r="L75" s="42">
        <f t="shared" si="9"/>
        <v>1.1009368421052619</v>
      </c>
      <c r="M75" s="43">
        <f t="shared" si="2"/>
        <v>-1.0936842105261801E-2</v>
      </c>
      <c r="N75" s="40">
        <f t="shared" si="3"/>
        <v>1.087162072627585</v>
      </c>
      <c r="O75" s="40">
        <f t="shared" si="4"/>
        <v>1.1148329310602336</v>
      </c>
    </row>
    <row r="76" spans="10:15" x14ac:dyDescent="0.25">
      <c r="J76" s="42">
        <f t="shared" si="8"/>
        <v>1.1000000000000001</v>
      </c>
      <c r="K76" s="42">
        <f t="shared" si="7"/>
        <v>1.1000000000000001</v>
      </c>
      <c r="L76" s="42">
        <f t="shared" si="9"/>
        <v>1.1009368421052619</v>
      </c>
      <c r="M76" s="43">
        <f t="shared" si="2"/>
        <v>-9.3684210526179257E-4</v>
      </c>
      <c r="N76" s="40">
        <f t="shared" si="3"/>
        <v>1.087162072627585</v>
      </c>
      <c r="O76" s="40">
        <f t="shared" si="4"/>
        <v>1.1147116115829387</v>
      </c>
    </row>
    <row r="77" spans="10:15" x14ac:dyDescent="0.25">
      <c r="J77" s="42">
        <f>E6</f>
        <v>1.4</v>
      </c>
      <c r="K77" s="42">
        <f t="shared" ref="K77:K101" si="10">H30</f>
        <v>1.43</v>
      </c>
      <c r="L77" s="42">
        <f t="shared" si="9"/>
        <v>1.4009052631578933</v>
      </c>
      <c r="M77" s="43">
        <f t="shared" si="2"/>
        <v>2.9094736842106617E-2</v>
      </c>
      <c r="N77" s="40">
        <f t="shared" si="3"/>
        <v>1.378628498233345</v>
      </c>
      <c r="O77" s="40">
        <f t="shared" si="4"/>
        <v>1.424785265721277</v>
      </c>
    </row>
    <row r="78" spans="10:15" x14ac:dyDescent="0.25">
      <c r="J78" s="42">
        <f>J77</f>
        <v>1.4</v>
      </c>
      <c r="K78" s="42">
        <f t="shared" si="10"/>
        <v>1.33</v>
      </c>
      <c r="L78" s="42">
        <f t="shared" si="9"/>
        <v>1.4009052631578933</v>
      </c>
      <c r="M78" s="43">
        <f t="shared" si="2"/>
        <v>-7.090526315789325E-2</v>
      </c>
      <c r="N78" s="40">
        <f t="shared" si="3"/>
        <v>1.378628498233345</v>
      </c>
      <c r="O78" s="40">
        <f t="shared" si="4"/>
        <v>1.4197264736436506</v>
      </c>
    </row>
    <row r="79" spans="10:15" x14ac:dyDescent="0.25">
      <c r="J79" s="42">
        <f t="shared" ref="J79:J100" si="11">J78</f>
        <v>1.4</v>
      </c>
      <c r="K79" s="42">
        <f t="shared" si="10"/>
        <v>1.48</v>
      </c>
      <c r="L79" s="42">
        <f t="shared" si="9"/>
        <v>1.4009052631578933</v>
      </c>
      <c r="M79" s="43">
        <f t="shared" si="2"/>
        <v>7.9094736842106661E-2</v>
      </c>
      <c r="N79" s="40">
        <f t="shared" si="3"/>
        <v>1.378628498233345</v>
      </c>
      <c r="O79" s="40">
        <f t="shared" si="4"/>
        <v>1.4275717806791193</v>
      </c>
    </row>
    <row r="80" spans="10:15" x14ac:dyDescent="0.25">
      <c r="J80" s="42">
        <f t="shared" si="11"/>
        <v>1.4</v>
      </c>
      <c r="K80" s="42">
        <f t="shared" si="10"/>
        <v>1.38</v>
      </c>
      <c r="L80" s="42">
        <f t="shared" si="9"/>
        <v>1.4009052631578933</v>
      </c>
      <c r="M80" s="43">
        <f t="shared" si="2"/>
        <v>-2.0905263157893428E-2</v>
      </c>
      <c r="N80" s="40">
        <f t="shared" si="3"/>
        <v>1.378628498233345</v>
      </c>
      <c r="O80" s="40">
        <f t="shared" si="4"/>
        <v>1.4221490730384285</v>
      </c>
    </row>
    <row r="81" spans="10:15" x14ac:dyDescent="0.25">
      <c r="J81" s="42">
        <f t="shared" si="11"/>
        <v>1.4</v>
      </c>
      <c r="K81" s="42">
        <f t="shared" si="10"/>
        <v>1.36</v>
      </c>
      <c r="L81" s="42">
        <f t="shared" si="9"/>
        <v>1.4009052631578933</v>
      </c>
      <c r="M81" s="43">
        <f t="shared" si="2"/>
        <v>-4.0905263157893224E-2</v>
      </c>
      <c r="N81" s="40">
        <f t="shared" si="3"/>
        <v>1.378628498233345</v>
      </c>
      <c r="O81" s="40">
        <f t="shared" si="4"/>
        <v>1.4211499570847566</v>
      </c>
    </row>
    <row r="82" spans="10:15" x14ac:dyDescent="0.25">
      <c r="J82" s="42">
        <f t="shared" si="11"/>
        <v>1.4</v>
      </c>
      <c r="K82" s="42">
        <f t="shared" si="10"/>
        <v>1.37</v>
      </c>
      <c r="L82" s="42">
        <f t="shared" si="9"/>
        <v>1.4009052631578933</v>
      </c>
      <c r="M82" s="43">
        <f t="shared" si="2"/>
        <v>-3.0905263157893215E-2</v>
      </c>
      <c r="N82" s="40">
        <f t="shared" si="3"/>
        <v>1.378628498233345</v>
      </c>
      <c r="O82" s="40">
        <f t="shared" si="4"/>
        <v>1.4216449756393728</v>
      </c>
    </row>
    <row r="83" spans="10:15" x14ac:dyDescent="0.25">
      <c r="J83" s="42">
        <f t="shared" si="11"/>
        <v>1.4</v>
      </c>
      <c r="K83" s="42">
        <f t="shared" si="10"/>
        <v>1.3</v>
      </c>
      <c r="L83" s="42">
        <f t="shared" si="9"/>
        <v>1.4009052631578933</v>
      </c>
      <c r="M83" s="43">
        <f t="shared" si="2"/>
        <v>-0.10090526315789328</v>
      </c>
      <c r="N83" s="40">
        <f t="shared" si="3"/>
        <v>1.378628498233345</v>
      </c>
      <c r="O83" s="40">
        <f t="shared" si="4"/>
        <v>1.4184126896204106</v>
      </c>
    </row>
    <row r="84" spans="10:15" x14ac:dyDescent="0.25">
      <c r="J84" s="42">
        <f t="shared" si="11"/>
        <v>1.4</v>
      </c>
      <c r="K84" s="42">
        <f t="shared" si="10"/>
        <v>1.51</v>
      </c>
      <c r="L84" s="42">
        <f t="shared" si="9"/>
        <v>1.4009052631578933</v>
      </c>
      <c r="M84" s="43">
        <f t="shared" si="2"/>
        <v>0.10909473684210669</v>
      </c>
      <c r="N84" s="40">
        <f t="shared" si="3"/>
        <v>1.378628498233345</v>
      </c>
      <c r="O84" s="40">
        <f t="shared" si="4"/>
        <v>1.4292975376515895</v>
      </c>
    </row>
    <row r="85" spans="10:15" x14ac:dyDescent="0.25">
      <c r="J85" s="42">
        <f t="shared" si="11"/>
        <v>1.4</v>
      </c>
      <c r="K85" s="42">
        <f t="shared" si="10"/>
        <v>1.59</v>
      </c>
      <c r="L85" s="42">
        <f t="shared" si="9"/>
        <v>1.4009052631578933</v>
      </c>
      <c r="M85" s="43">
        <f t="shared" si="2"/>
        <v>0.18909473684210676</v>
      </c>
      <c r="N85" s="40">
        <f t="shared" si="3"/>
        <v>1.378628498233345</v>
      </c>
      <c r="O85" s="40">
        <f t="shared" si="4"/>
        <v>1.4340418821596665</v>
      </c>
    </row>
    <row r="86" spans="10:15" x14ac:dyDescent="0.25">
      <c r="J86" s="42">
        <f t="shared" si="11"/>
        <v>1.4</v>
      </c>
      <c r="K86" s="42">
        <f t="shared" si="10"/>
        <v>1.51</v>
      </c>
      <c r="L86" s="42">
        <f t="shared" si="9"/>
        <v>1.4009052631578933</v>
      </c>
      <c r="M86" s="43">
        <f t="shared" si="2"/>
        <v>0.10909473684210669</v>
      </c>
      <c r="N86" s="40">
        <f t="shared" si="3"/>
        <v>1.378628498233345</v>
      </c>
      <c r="O86" s="40">
        <f t="shared" si="4"/>
        <v>1.4292975376515895</v>
      </c>
    </row>
    <row r="87" spans="10:15" x14ac:dyDescent="0.25">
      <c r="J87" s="42">
        <f t="shared" si="11"/>
        <v>1.4</v>
      </c>
      <c r="K87" s="42">
        <f t="shared" si="10"/>
        <v>1.31</v>
      </c>
      <c r="L87" s="42">
        <f t="shared" si="9"/>
        <v>1.4009052631578933</v>
      </c>
      <c r="M87" s="43">
        <f t="shared" si="2"/>
        <v>-9.0905263157893268E-2</v>
      </c>
      <c r="N87" s="40">
        <f t="shared" si="3"/>
        <v>1.378628498233345</v>
      </c>
      <c r="O87" s="40">
        <f t="shared" si="4"/>
        <v>1.418836899060385</v>
      </c>
    </row>
    <row r="88" spans="10:15" x14ac:dyDescent="0.25">
      <c r="J88" s="42">
        <f t="shared" si="11"/>
        <v>1.4</v>
      </c>
      <c r="K88" s="42">
        <f t="shared" si="10"/>
        <v>1.38</v>
      </c>
      <c r="L88" s="42">
        <f t="shared" si="9"/>
        <v>1.4009052631578933</v>
      </c>
      <c r="M88" s="43">
        <f t="shared" si="2"/>
        <v>-2.0905263157893428E-2</v>
      </c>
      <c r="N88" s="40">
        <f t="shared" si="3"/>
        <v>1.378628498233345</v>
      </c>
      <c r="O88" s="40">
        <f t="shared" si="4"/>
        <v>1.4221490730384285</v>
      </c>
    </row>
    <row r="89" spans="10:15" x14ac:dyDescent="0.25">
      <c r="J89" s="42">
        <f t="shared" si="11"/>
        <v>1.4</v>
      </c>
      <c r="K89" s="42">
        <f t="shared" si="10"/>
        <v>1.38</v>
      </c>
      <c r="L89" s="42">
        <f t="shared" si="9"/>
        <v>1.4009052631578933</v>
      </c>
      <c r="M89" s="43">
        <f t="shared" si="2"/>
        <v>-2.0905263157893428E-2</v>
      </c>
      <c r="N89" s="40">
        <f t="shared" si="3"/>
        <v>1.378628498233345</v>
      </c>
      <c r="O89" s="40">
        <f t="shared" si="4"/>
        <v>1.4221490730384285</v>
      </c>
    </row>
    <row r="90" spans="10:15" x14ac:dyDescent="0.25">
      <c r="J90" s="42">
        <f t="shared" si="11"/>
        <v>1.4</v>
      </c>
      <c r="K90" s="42">
        <f t="shared" si="10"/>
        <v>1.49</v>
      </c>
      <c r="L90" s="42">
        <f t="shared" si="9"/>
        <v>1.4009052631578933</v>
      </c>
      <c r="M90" s="43">
        <f t="shared" si="2"/>
        <v>8.909473684210667E-2</v>
      </c>
      <c r="N90" s="40">
        <f t="shared" si="3"/>
        <v>1.378628498233345</v>
      </c>
      <c r="O90" s="40">
        <f t="shared" si="4"/>
        <v>1.428143106537608</v>
      </c>
    </row>
    <row r="91" spans="10:15" x14ac:dyDescent="0.25">
      <c r="J91" s="42">
        <f t="shared" si="11"/>
        <v>1.4</v>
      </c>
      <c r="K91" s="42">
        <f t="shared" si="10"/>
        <v>1.31</v>
      </c>
      <c r="L91" s="42">
        <f t="shared" ref="L91:L101" si="12">J$15*J91+K$15</f>
        <v>1.4009052631578933</v>
      </c>
      <c r="M91" s="43">
        <f t="shared" si="2"/>
        <v>-9.0905263157893268E-2</v>
      </c>
      <c r="N91" s="40">
        <f t="shared" si="3"/>
        <v>1.378628498233345</v>
      </c>
      <c r="O91" s="40">
        <f t="shared" si="4"/>
        <v>1.418836899060385</v>
      </c>
    </row>
    <row r="92" spans="10:15" x14ac:dyDescent="0.25">
      <c r="J92" s="42">
        <f t="shared" si="11"/>
        <v>1.4</v>
      </c>
      <c r="K92" s="42">
        <f t="shared" si="10"/>
        <v>1.53</v>
      </c>
      <c r="L92" s="42">
        <f t="shared" si="12"/>
        <v>1.4009052631578933</v>
      </c>
      <c r="M92" s="43">
        <f t="shared" ref="M92:M101" si="13">K92-L92</f>
        <v>0.12909473684210671</v>
      </c>
      <c r="N92" s="40">
        <f t="shared" ref="N92:N101" si="14">L92-TINV(0.05,$K$18)*$K$17*SQRT(1/($K$18+2)+((J92-$J$25)^2)/$N$14)</f>
        <v>1.378628498233345</v>
      </c>
      <c r="O92" s="40">
        <f t="shared" ref="O92:O101" si="15">L92+TINV(0.05,$K$18)*$K$17*SQRT(1/($K$18+2)+((K92-$J$25)^2)/$N$14)</f>
        <v>1.4304661386707773</v>
      </c>
    </row>
    <row r="93" spans="10:15" x14ac:dyDescent="0.25">
      <c r="J93" s="42">
        <f t="shared" si="11"/>
        <v>1.4</v>
      </c>
      <c r="K93" s="42">
        <f t="shared" si="10"/>
        <v>1.43</v>
      </c>
      <c r="L93" s="42">
        <f t="shared" si="12"/>
        <v>1.4009052631578933</v>
      </c>
      <c r="M93" s="43">
        <f t="shared" si="13"/>
        <v>2.9094736842106617E-2</v>
      </c>
      <c r="N93" s="40">
        <f t="shared" si="14"/>
        <v>1.378628498233345</v>
      </c>
      <c r="O93" s="40">
        <f t="shared" si="15"/>
        <v>1.424785265721277</v>
      </c>
    </row>
    <row r="94" spans="10:15" x14ac:dyDescent="0.25">
      <c r="J94" s="42">
        <f t="shared" si="11"/>
        <v>1.4</v>
      </c>
      <c r="K94" s="42">
        <f t="shared" si="10"/>
        <v>1.32</v>
      </c>
      <c r="L94" s="42">
        <f t="shared" si="12"/>
        <v>1.4009052631578933</v>
      </c>
      <c r="M94" s="43">
        <f t="shared" si="13"/>
        <v>-8.0905263157893259E-2</v>
      </c>
      <c r="N94" s="40">
        <f t="shared" si="14"/>
        <v>1.378628498233345</v>
      </c>
      <c r="O94" s="40">
        <f t="shared" si="15"/>
        <v>1.4192751541140869</v>
      </c>
    </row>
    <row r="95" spans="10:15" x14ac:dyDescent="0.25">
      <c r="J95" s="42">
        <f t="shared" si="11"/>
        <v>1.4</v>
      </c>
      <c r="K95" s="42">
        <f t="shared" si="10"/>
        <v>1.4</v>
      </c>
      <c r="L95" s="42">
        <f t="shared" si="12"/>
        <v>1.4009052631578933</v>
      </c>
      <c r="M95" s="43">
        <f t="shared" si="13"/>
        <v>-9.0526315789341005E-4</v>
      </c>
      <c r="N95" s="40">
        <f t="shared" si="14"/>
        <v>1.378628498233345</v>
      </c>
      <c r="O95" s="40">
        <f t="shared" si="15"/>
        <v>1.4231820280824417</v>
      </c>
    </row>
    <row r="96" spans="10:15" x14ac:dyDescent="0.25">
      <c r="J96" s="42">
        <f t="shared" si="11"/>
        <v>1.4</v>
      </c>
      <c r="K96" s="42">
        <f t="shared" si="10"/>
        <v>1.49</v>
      </c>
      <c r="L96" s="42">
        <f t="shared" si="12"/>
        <v>1.4009052631578933</v>
      </c>
      <c r="M96" s="43">
        <f t="shared" si="13"/>
        <v>8.909473684210667E-2</v>
      </c>
      <c r="N96" s="40">
        <f t="shared" si="14"/>
        <v>1.378628498233345</v>
      </c>
      <c r="O96" s="40">
        <f t="shared" si="15"/>
        <v>1.428143106537608</v>
      </c>
    </row>
    <row r="97" spans="10:15" x14ac:dyDescent="0.25">
      <c r="J97" s="42">
        <f t="shared" si="11"/>
        <v>1.4</v>
      </c>
      <c r="K97" s="42">
        <f t="shared" si="10"/>
        <v>1.42</v>
      </c>
      <c r="L97" s="42">
        <f t="shared" si="12"/>
        <v>1.4009052631578933</v>
      </c>
      <c r="M97" s="43">
        <f t="shared" si="13"/>
        <v>1.9094736842106608E-2</v>
      </c>
      <c r="N97" s="40">
        <f t="shared" si="14"/>
        <v>1.378628498233345</v>
      </c>
      <c r="O97" s="40">
        <f t="shared" si="15"/>
        <v>1.4242443296341296</v>
      </c>
    </row>
    <row r="98" spans="10:15" x14ac:dyDescent="0.25">
      <c r="J98" s="42">
        <f t="shared" si="11"/>
        <v>1.4</v>
      </c>
      <c r="K98" s="42">
        <f t="shared" si="10"/>
        <v>1.37</v>
      </c>
      <c r="L98" s="42">
        <f t="shared" si="12"/>
        <v>1.4009052631578933</v>
      </c>
      <c r="M98" s="43">
        <f t="shared" si="13"/>
        <v>-3.0905263157893215E-2</v>
      </c>
      <c r="N98" s="40">
        <f t="shared" si="14"/>
        <v>1.378628498233345</v>
      </c>
      <c r="O98" s="40">
        <f t="shared" si="15"/>
        <v>1.4216449756393728</v>
      </c>
    </row>
    <row r="99" spans="10:15" x14ac:dyDescent="0.25">
      <c r="J99" s="42">
        <f t="shared" si="11"/>
        <v>1.4</v>
      </c>
      <c r="K99" s="42">
        <f t="shared" si="10"/>
        <v>1.37</v>
      </c>
      <c r="L99" s="42">
        <f t="shared" si="12"/>
        <v>1.4009052631578933</v>
      </c>
      <c r="M99" s="43">
        <f t="shared" si="13"/>
        <v>-3.0905263157893215E-2</v>
      </c>
      <c r="N99" s="40">
        <f t="shared" si="14"/>
        <v>1.378628498233345</v>
      </c>
      <c r="O99" s="40">
        <f t="shared" si="15"/>
        <v>1.4216449756393728</v>
      </c>
    </row>
    <row r="100" spans="10:15" x14ac:dyDescent="0.25">
      <c r="J100" s="42">
        <f t="shared" si="11"/>
        <v>1.4</v>
      </c>
      <c r="K100" s="42">
        <f t="shared" si="10"/>
        <v>1.4</v>
      </c>
      <c r="L100" s="42">
        <f t="shared" si="12"/>
        <v>1.4009052631578933</v>
      </c>
      <c r="M100" s="43">
        <f t="shared" si="13"/>
        <v>-9.0526315789341005E-4</v>
      </c>
      <c r="N100" s="40">
        <f t="shared" si="14"/>
        <v>1.378628498233345</v>
      </c>
      <c r="O100" s="40">
        <f t="shared" si="15"/>
        <v>1.4231820280824417</v>
      </c>
    </row>
    <row r="101" spans="10:15" x14ac:dyDescent="0.25">
      <c r="J101" s="42">
        <f>J100</f>
        <v>1.4</v>
      </c>
      <c r="K101" s="42">
        <f t="shared" si="10"/>
        <v>1.36</v>
      </c>
      <c r="L101" s="42">
        <f t="shared" si="12"/>
        <v>1.4009052631578933</v>
      </c>
      <c r="M101" s="43">
        <f t="shared" si="13"/>
        <v>-4.0905263157893224E-2</v>
      </c>
      <c r="N101" s="40">
        <f t="shared" si="14"/>
        <v>1.378628498233345</v>
      </c>
      <c r="O101" s="40">
        <f t="shared" si="15"/>
        <v>1.4211499570847566</v>
      </c>
    </row>
    <row r="102" spans="10:15" x14ac:dyDescent="0.25">
      <c r="J102" s="39"/>
      <c r="K102" s="39"/>
      <c r="L102" s="39"/>
      <c r="M102" s="39"/>
    </row>
    <row r="103" spans="10:15" x14ac:dyDescent="0.25">
      <c r="J103" s="39"/>
      <c r="K103" s="39"/>
      <c r="L103" s="39"/>
      <c r="M103" s="39"/>
    </row>
    <row r="104" spans="10:15" x14ac:dyDescent="0.25">
      <c r="J104" s="39"/>
      <c r="K104" s="39"/>
      <c r="L104" s="39"/>
      <c r="M104" s="39"/>
    </row>
    <row r="105" spans="10:15" x14ac:dyDescent="0.25">
      <c r="J105" s="39"/>
      <c r="K105" s="39"/>
      <c r="L105" s="39"/>
      <c r="M105" s="39"/>
    </row>
    <row r="106" spans="10:15" x14ac:dyDescent="0.25">
      <c r="J106" s="39"/>
      <c r="K106" s="39"/>
      <c r="L106" s="39"/>
      <c r="M106" s="39"/>
    </row>
    <row r="107" spans="10:15" x14ac:dyDescent="0.25">
      <c r="J107" s="39"/>
      <c r="K107" s="39"/>
      <c r="L107" s="39"/>
      <c r="M107" s="39"/>
    </row>
    <row r="108" spans="10:15" x14ac:dyDescent="0.25">
      <c r="J108" s="39"/>
      <c r="K108" s="39"/>
      <c r="L108" s="39"/>
      <c r="M108" s="39"/>
    </row>
    <row r="109" spans="10:15" x14ac:dyDescent="0.25">
      <c r="J109" s="39"/>
      <c r="K109" s="39"/>
      <c r="L109" s="39"/>
      <c r="M109" s="39"/>
    </row>
    <row r="110" spans="10:15" x14ac:dyDescent="0.25">
      <c r="J110" s="39"/>
      <c r="K110" s="39"/>
      <c r="L110" s="39"/>
      <c r="M110" s="39"/>
    </row>
    <row r="111" spans="10:15" x14ac:dyDescent="0.25">
      <c r="J111" s="39"/>
      <c r="K111" s="39"/>
      <c r="L111" s="39"/>
      <c r="M111" s="39"/>
    </row>
  </sheetData>
  <mergeCells count="15">
    <mergeCell ref="Q30:Q36"/>
    <mergeCell ref="Q4:X10"/>
    <mergeCell ref="Q12:Q28"/>
    <mergeCell ref="B12:B27"/>
    <mergeCell ref="D50:D54"/>
    <mergeCell ref="D30:D34"/>
    <mergeCell ref="D35:D39"/>
    <mergeCell ref="D40:D44"/>
    <mergeCell ref="F21:G21"/>
    <mergeCell ref="B4:B5"/>
    <mergeCell ref="C4:E4"/>
    <mergeCell ref="I14:L14"/>
    <mergeCell ref="D14:G14"/>
    <mergeCell ref="D45:D49"/>
    <mergeCell ref="I21:J21"/>
  </mergeCells>
  <phoneticPr fontId="10" type="noConversion"/>
  <conditionalFormatting sqref="F22">
    <cfRule type="cellIs" dxfId="5" priority="6" operator="greaterThan">
      <formula>1</formula>
    </cfRule>
  </conditionalFormatting>
  <conditionalFormatting sqref="F23 D24">
    <cfRule type="cellIs" dxfId="4" priority="5" operator="greaterThan">
      <formula>0</formula>
    </cfRule>
  </conditionalFormatting>
  <conditionalFormatting sqref="G22">
    <cfRule type="cellIs" dxfId="3" priority="4" operator="lessThan">
      <formula>1</formula>
    </cfRule>
  </conditionalFormatting>
  <conditionalFormatting sqref="G23 E24">
    <cfRule type="cellIs" dxfId="2" priority="3" operator="lessThan">
      <formula>0</formula>
    </cfRule>
  </conditionalFormatting>
  <conditionalFormatting sqref="T35:V35">
    <cfRule type="cellIs" dxfId="1" priority="2" operator="greaterThan">
      <formula>0</formula>
    </cfRule>
  </conditionalFormatting>
  <conditionalFormatting sqref="T36:V3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J52 J77" formula="1"/>
    <ignoredError sqref="T36:V3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régression bayésienne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 Colliou</dc:creator>
  <cp:lastModifiedBy>morgan Germa Colliou</cp:lastModifiedBy>
  <dcterms:created xsi:type="dcterms:W3CDTF">2015-06-05T18:19:34Z</dcterms:created>
  <dcterms:modified xsi:type="dcterms:W3CDTF">2025-11-18T08:49:49Z</dcterms:modified>
</cp:coreProperties>
</file>