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Morgan\Statistique\Excel\Excel payant\"/>
    </mc:Choice>
  </mc:AlternateContent>
  <xr:revisionPtr revIDLastSave="0" documentId="13_ncr:1_{7625CA77-28BA-406C-B0AB-3B4C67A0D8A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ECH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1" l="1"/>
  <c r="H99" i="1" s="1"/>
  <c r="I99" i="1" s="1"/>
  <c r="K99" i="1" s="1"/>
  <c r="L99" i="1" s="1"/>
  <c r="M99" i="1" s="1"/>
  <c r="N99" i="1" s="1"/>
  <c r="O99" i="1" s="1"/>
  <c r="AA36" i="1"/>
  <c r="AC36" i="1"/>
  <c r="Y33" i="1"/>
  <c r="Z33" i="1"/>
  <c r="AA33" i="1" s="1"/>
  <c r="Y34" i="1"/>
  <c r="Z34" i="1"/>
  <c r="AA34" i="1" s="1"/>
  <c r="Y35" i="1"/>
  <c r="Z35" i="1"/>
  <c r="AA35" i="1" s="1"/>
  <c r="Y36" i="1"/>
  <c r="Z36" i="1"/>
  <c r="G100" i="1" s="1"/>
  <c r="H100" i="1" s="1"/>
  <c r="I100" i="1" s="1"/>
  <c r="K100" i="1" s="1"/>
  <c r="L100" i="1" s="1"/>
  <c r="M100" i="1" s="1"/>
  <c r="N100" i="1" s="1"/>
  <c r="O100" i="1" s="1"/>
  <c r="Y37" i="1"/>
  <c r="Z37" i="1"/>
  <c r="AA37" i="1" s="1"/>
  <c r="Y38" i="1"/>
  <c r="Z38" i="1"/>
  <c r="G102" i="1" s="1"/>
  <c r="E61" i="1"/>
  <c r="H61" i="1" s="1"/>
  <c r="E60" i="1"/>
  <c r="J60" i="1" s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2" i="1"/>
  <c r="D50" i="1"/>
  <c r="H97" i="1" l="1"/>
  <c r="I97" i="1" s="1"/>
  <c r="K97" i="1" s="1"/>
  <c r="L97" i="1" s="1"/>
  <c r="M97" i="1" s="1"/>
  <c r="N97" i="1" s="1"/>
  <c r="O97" i="1" s="1"/>
  <c r="H102" i="1"/>
  <c r="I102" i="1" s="1"/>
  <c r="K102" i="1" s="1"/>
  <c r="L102" i="1" s="1"/>
  <c r="M102" i="1" s="1"/>
  <c r="N102" i="1" s="1"/>
  <c r="O102" i="1" s="1"/>
  <c r="AC38" i="1"/>
  <c r="AC34" i="1"/>
  <c r="AB38" i="1"/>
  <c r="AB36" i="1"/>
  <c r="AB34" i="1"/>
  <c r="G98" i="1"/>
  <c r="H98" i="1" s="1"/>
  <c r="I98" i="1" s="1"/>
  <c r="K98" i="1" s="1"/>
  <c r="L98" i="1" s="1"/>
  <c r="M98" i="1" s="1"/>
  <c r="N98" i="1" s="1"/>
  <c r="O98" i="1" s="1"/>
  <c r="AA38" i="1"/>
  <c r="AC37" i="1"/>
  <c r="AC35" i="1"/>
  <c r="AC33" i="1"/>
  <c r="AB37" i="1"/>
  <c r="AB35" i="1"/>
  <c r="AB33" i="1"/>
  <c r="G101" i="1"/>
  <c r="H101" i="1" s="1"/>
  <c r="I101" i="1" s="1"/>
  <c r="K101" i="1" s="1"/>
  <c r="L101" i="1" s="1"/>
  <c r="M101" i="1" s="1"/>
  <c r="N101" i="1" s="1"/>
  <c r="O101" i="1" s="1"/>
  <c r="G97" i="1"/>
  <c r="G60" i="1"/>
  <c r="I60" i="1"/>
  <c r="G61" i="1"/>
  <c r="I61" i="1"/>
  <c r="H60" i="1"/>
  <c r="F61" i="1"/>
  <c r="J61" i="1"/>
  <c r="F60" i="1"/>
  <c r="E95" i="1"/>
  <c r="E96" i="1"/>
  <c r="E97" i="1"/>
  <c r="E98" i="1"/>
  <c r="E99" i="1"/>
  <c r="E100" i="1"/>
  <c r="E101" i="1"/>
  <c r="E102" i="1"/>
  <c r="D132" i="1"/>
  <c r="D147" i="1" s="1"/>
  <c r="M147" i="1" s="1"/>
  <c r="D131" i="1"/>
  <c r="K131" i="1" s="1"/>
  <c r="D130" i="1"/>
  <c r="I130" i="1" s="1"/>
  <c r="D129" i="1"/>
  <c r="T129" i="1" s="1"/>
  <c r="D128" i="1"/>
  <c r="R128" i="1" s="1"/>
  <c r="D127" i="1"/>
  <c r="L127" i="1" s="1"/>
  <c r="D126" i="1"/>
  <c r="T126" i="1" s="1"/>
  <c r="D125" i="1"/>
  <c r="R125" i="1" s="1"/>
  <c r="D124" i="1"/>
  <c r="P124" i="1" s="1"/>
  <c r="D123" i="1"/>
  <c r="D138" i="1" s="1"/>
  <c r="F138" i="1" s="1"/>
  <c r="D122" i="1"/>
  <c r="D137" i="1" s="1"/>
  <c r="S137" i="1" s="1"/>
  <c r="D121" i="1"/>
  <c r="R121" i="1" s="1"/>
  <c r="D120" i="1"/>
  <c r="P120" i="1" s="1"/>
  <c r="T117" i="1"/>
  <c r="S117" i="1"/>
  <c r="R117" i="1"/>
  <c r="Q117" i="1"/>
  <c r="P117" i="1"/>
  <c r="O117" i="1"/>
  <c r="T116" i="1"/>
  <c r="S116" i="1"/>
  <c r="R116" i="1"/>
  <c r="Q116" i="1"/>
  <c r="P116" i="1"/>
  <c r="T115" i="1"/>
  <c r="S115" i="1"/>
  <c r="R115" i="1"/>
  <c r="Q115" i="1"/>
  <c r="E115" i="1"/>
  <c r="T114" i="1"/>
  <c r="S114" i="1"/>
  <c r="R114" i="1"/>
  <c r="F114" i="1"/>
  <c r="E114" i="1"/>
  <c r="T113" i="1"/>
  <c r="S113" i="1"/>
  <c r="G113" i="1"/>
  <c r="F113" i="1"/>
  <c r="E113" i="1"/>
  <c r="T112" i="1"/>
  <c r="H112" i="1"/>
  <c r="G112" i="1"/>
  <c r="F112" i="1"/>
  <c r="E112" i="1"/>
  <c r="I111" i="1"/>
  <c r="H111" i="1"/>
  <c r="G111" i="1"/>
  <c r="F111" i="1"/>
  <c r="E111" i="1"/>
  <c r="J110" i="1"/>
  <c r="I110" i="1"/>
  <c r="H110" i="1"/>
  <c r="G110" i="1"/>
  <c r="F110" i="1"/>
  <c r="E110" i="1"/>
  <c r="K109" i="1"/>
  <c r="J109" i="1"/>
  <c r="I109" i="1"/>
  <c r="H109" i="1"/>
  <c r="G109" i="1"/>
  <c r="F109" i="1"/>
  <c r="E109" i="1"/>
  <c r="L108" i="1"/>
  <c r="K108" i="1"/>
  <c r="J108" i="1"/>
  <c r="I108" i="1"/>
  <c r="H108" i="1"/>
  <c r="G108" i="1"/>
  <c r="F108" i="1"/>
  <c r="E108" i="1"/>
  <c r="M107" i="1"/>
  <c r="L107" i="1"/>
  <c r="K107" i="1"/>
  <c r="J107" i="1"/>
  <c r="I107" i="1"/>
  <c r="H107" i="1"/>
  <c r="G107" i="1"/>
  <c r="F107" i="1"/>
  <c r="E107" i="1"/>
  <c r="N106" i="1"/>
  <c r="M106" i="1"/>
  <c r="L106" i="1"/>
  <c r="K106" i="1"/>
  <c r="J106" i="1"/>
  <c r="I106" i="1"/>
  <c r="H106" i="1"/>
  <c r="G106" i="1"/>
  <c r="F106" i="1"/>
  <c r="E106" i="1"/>
  <c r="O105" i="1"/>
  <c r="N105" i="1"/>
  <c r="M105" i="1"/>
  <c r="L105" i="1"/>
  <c r="K105" i="1"/>
  <c r="J105" i="1"/>
  <c r="I105" i="1"/>
  <c r="H105" i="1"/>
  <c r="G105" i="1"/>
  <c r="F105" i="1"/>
  <c r="E105" i="1"/>
  <c r="E94" i="1"/>
  <c r="E92" i="1"/>
  <c r="E90" i="1"/>
  <c r="E88" i="1"/>
  <c r="E86" i="1"/>
  <c r="E84" i="1"/>
  <c r="E82" i="1"/>
  <c r="E80" i="1"/>
  <c r="E78" i="1"/>
  <c r="J76" i="1"/>
  <c r="E76" i="1"/>
  <c r="J59" i="1"/>
  <c r="I59" i="1"/>
  <c r="H59" i="1"/>
  <c r="G59" i="1"/>
  <c r="F59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Z28" i="1"/>
  <c r="AB28" i="1" s="1"/>
  <c r="Y28" i="1"/>
  <c r="Z26" i="1"/>
  <c r="G90" i="1" s="1"/>
  <c r="Y26" i="1"/>
  <c r="H91" i="1" s="1"/>
  <c r="I91" i="1" s="1"/>
  <c r="K91" i="1" s="1"/>
  <c r="L91" i="1" s="1"/>
  <c r="M91" i="1" s="1"/>
  <c r="N91" i="1" s="1"/>
  <c r="Z24" i="1"/>
  <c r="AB24" i="1" s="1"/>
  <c r="Y24" i="1"/>
  <c r="AC22" i="1"/>
  <c r="AB22" i="1"/>
  <c r="AA22" i="1"/>
  <c r="Z22" i="1"/>
  <c r="G86" i="1" s="1"/>
  <c r="Y22" i="1"/>
  <c r="H87" i="1" s="1"/>
  <c r="I87" i="1" s="1"/>
  <c r="K87" i="1" s="1"/>
  <c r="L87" i="1" s="1"/>
  <c r="M87" i="1" s="1"/>
  <c r="N87" i="1" s="1"/>
  <c r="Z20" i="1"/>
  <c r="AB20" i="1" s="1"/>
  <c r="Y20" i="1"/>
  <c r="AC18" i="1"/>
  <c r="Z18" i="1"/>
  <c r="G82" i="1" s="1"/>
  <c r="Y18" i="1"/>
  <c r="AA18" i="1" l="1"/>
  <c r="AA26" i="1"/>
  <c r="H83" i="1"/>
  <c r="I83" i="1" s="1"/>
  <c r="K83" i="1" s="1"/>
  <c r="L83" i="1" s="1"/>
  <c r="M83" i="1" s="1"/>
  <c r="N83" i="1" s="1"/>
  <c r="AC26" i="1"/>
  <c r="Z32" i="1"/>
  <c r="G96" i="1" s="1"/>
  <c r="Y31" i="1"/>
  <c r="Z31" i="1"/>
  <c r="G95" i="1" s="1"/>
  <c r="Y32" i="1"/>
  <c r="H128" i="1"/>
  <c r="J129" i="1"/>
  <c r="G121" i="1"/>
  <c r="I121" i="1"/>
  <c r="G126" i="1"/>
  <c r="O121" i="1"/>
  <c r="J126" i="1"/>
  <c r="S128" i="1"/>
  <c r="E121" i="1"/>
  <c r="Q121" i="1"/>
  <c r="P131" i="1"/>
  <c r="O123" i="1"/>
  <c r="L128" i="1"/>
  <c r="M129" i="1"/>
  <c r="Q130" i="1"/>
  <c r="K125" i="1"/>
  <c r="G123" i="1"/>
  <c r="R123" i="1"/>
  <c r="N126" i="1"/>
  <c r="F128" i="1"/>
  <c r="N128" i="1"/>
  <c r="E129" i="1"/>
  <c r="O129" i="1"/>
  <c r="G132" i="1"/>
  <c r="M123" i="1"/>
  <c r="E123" i="1"/>
  <c r="M121" i="1"/>
  <c r="J122" i="1"/>
  <c r="J123" i="1"/>
  <c r="F126" i="1"/>
  <c r="R126" i="1"/>
  <c r="G128" i="1"/>
  <c r="P128" i="1"/>
  <c r="G129" i="1"/>
  <c r="R129" i="1"/>
  <c r="H131" i="1"/>
  <c r="O137" i="1"/>
  <c r="M127" i="1"/>
  <c r="K121" i="1"/>
  <c r="S121" i="1"/>
  <c r="N122" i="1"/>
  <c r="F123" i="1"/>
  <c r="K123" i="1"/>
  <c r="Q123" i="1"/>
  <c r="O125" i="1"/>
  <c r="O126" i="1"/>
  <c r="G127" i="1"/>
  <c r="Q127" i="1"/>
  <c r="I129" i="1"/>
  <c r="N129" i="1"/>
  <c r="S129" i="1"/>
  <c r="S131" i="1"/>
  <c r="J132" i="1"/>
  <c r="N138" i="1"/>
  <c r="R122" i="1"/>
  <c r="S125" i="1"/>
  <c r="H127" i="1"/>
  <c r="S127" i="1"/>
  <c r="N132" i="1"/>
  <c r="R138" i="1"/>
  <c r="E147" i="1"/>
  <c r="F122" i="1"/>
  <c r="I123" i="1"/>
  <c r="N123" i="1"/>
  <c r="S123" i="1"/>
  <c r="G125" i="1"/>
  <c r="K126" i="1"/>
  <c r="K128" i="1"/>
  <c r="F129" i="1"/>
  <c r="K129" i="1"/>
  <c r="Q129" i="1"/>
  <c r="F132" i="1"/>
  <c r="R132" i="1"/>
  <c r="D144" i="1"/>
  <c r="O144" i="1" s="1"/>
  <c r="I147" i="1"/>
  <c r="Y14" i="1"/>
  <c r="Y12" i="1"/>
  <c r="Y16" i="1"/>
  <c r="Z30" i="1"/>
  <c r="H82" i="1"/>
  <c r="I82" i="1" s="1"/>
  <c r="K82" i="1" s="1"/>
  <c r="L82" i="1" s="1"/>
  <c r="M82" i="1" s="1"/>
  <c r="N82" i="1" s="1"/>
  <c r="Z12" i="1"/>
  <c r="G84" i="1"/>
  <c r="H84" i="1" s="1"/>
  <c r="I84" i="1" s="1"/>
  <c r="K84" i="1" s="1"/>
  <c r="L84" i="1" s="1"/>
  <c r="M84" i="1" s="1"/>
  <c r="N84" i="1" s="1"/>
  <c r="AA20" i="1"/>
  <c r="AC20" i="1"/>
  <c r="G88" i="1"/>
  <c r="H88" i="1" s="1"/>
  <c r="I88" i="1" s="1"/>
  <c r="K88" i="1" s="1"/>
  <c r="L88" i="1" s="1"/>
  <c r="M88" i="1" s="1"/>
  <c r="N88" i="1" s="1"/>
  <c r="AC24" i="1"/>
  <c r="AA24" i="1"/>
  <c r="D135" i="1"/>
  <c r="S120" i="1"/>
  <c r="O120" i="1"/>
  <c r="K120" i="1"/>
  <c r="G120" i="1"/>
  <c r="R120" i="1"/>
  <c r="N120" i="1"/>
  <c r="J120" i="1"/>
  <c r="F120" i="1"/>
  <c r="Q120" i="1"/>
  <c r="M120" i="1"/>
  <c r="I120" i="1"/>
  <c r="E120" i="1"/>
  <c r="T120" i="1"/>
  <c r="D139" i="1"/>
  <c r="S124" i="1"/>
  <c r="O124" i="1"/>
  <c r="K124" i="1"/>
  <c r="G124" i="1"/>
  <c r="R124" i="1"/>
  <c r="N124" i="1"/>
  <c r="J124" i="1"/>
  <c r="F124" i="1"/>
  <c r="Q124" i="1"/>
  <c r="M124" i="1"/>
  <c r="I124" i="1"/>
  <c r="E124" i="1"/>
  <c r="T124" i="1"/>
  <c r="G92" i="1"/>
  <c r="H92" i="1" s="1"/>
  <c r="I92" i="1" s="1"/>
  <c r="K92" i="1" s="1"/>
  <c r="L92" i="1" s="1"/>
  <c r="M92" i="1" s="1"/>
  <c r="N92" i="1" s="1"/>
  <c r="AA28" i="1"/>
  <c r="AC28" i="1"/>
  <c r="H90" i="1"/>
  <c r="I90" i="1" s="1"/>
  <c r="K90" i="1" s="1"/>
  <c r="L90" i="1" s="1"/>
  <c r="M90" i="1" s="1"/>
  <c r="N90" i="1" s="1"/>
  <c r="O90" i="1" s="1"/>
  <c r="Z16" i="1"/>
  <c r="Y30" i="1"/>
  <c r="Z14" i="1"/>
  <c r="H86" i="1"/>
  <c r="I86" i="1" s="1"/>
  <c r="K86" i="1" s="1"/>
  <c r="L86" i="1" s="1"/>
  <c r="M86" i="1" s="1"/>
  <c r="N86" i="1" s="1"/>
  <c r="O86" i="1" s="1"/>
  <c r="H120" i="1"/>
  <c r="H124" i="1"/>
  <c r="L120" i="1"/>
  <c r="L124" i="1"/>
  <c r="H121" i="1"/>
  <c r="L121" i="1"/>
  <c r="P121" i="1"/>
  <c r="T121" i="1"/>
  <c r="G122" i="1"/>
  <c r="K122" i="1"/>
  <c r="O122" i="1"/>
  <c r="S122" i="1"/>
  <c r="H125" i="1"/>
  <c r="L125" i="1"/>
  <c r="P125" i="1"/>
  <c r="T125" i="1"/>
  <c r="S130" i="1"/>
  <c r="O130" i="1"/>
  <c r="K130" i="1"/>
  <c r="G130" i="1"/>
  <c r="R130" i="1"/>
  <c r="N130" i="1"/>
  <c r="J130" i="1"/>
  <c r="F130" i="1"/>
  <c r="D145" i="1"/>
  <c r="L130" i="1"/>
  <c r="T130" i="1"/>
  <c r="D136" i="1"/>
  <c r="R137" i="1"/>
  <c r="N137" i="1"/>
  <c r="J137" i="1"/>
  <c r="F137" i="1"/>
  <c r="Q137" i="1"/>
  <c r="M137" i="1"/>
  <c r="I137" i="1"/>
  <c r="E137" i="1"/>
  <c r="T137" i="1"/>
  <c r="P137" i="1"/>
  <c r="L137" i="1"/>
  <c r="H137" i="1"/>
  <c r="H122" i="1"/>
  <c r="L122" i="1"/>
  <c r="P122" i="1"/>
  <c r="T122" i="1"/>
  <c r="E125" i="1"/>
  <c r="I125" i="1"/>
  <c r="M125" i="1"/>
  <c r="Q125" i="1"/>
  <c r="S126" i="1"/>
  <c r="D141" i="1"/>
  <c r="H126" i="1"/>
  <c r="L126" i="1"/>
  <c r="P126" i="1"/>
  <c r="R127" i="1"/>
  <c r="N127" i="1"/>
  <c r="J127" i="1"/>
  <c r="F127" i="1"/>
  <c r="D142" i="1"/>
  <c r="I127" i="1"/>
  <c r="O127" i="1"/>
  <c r="T127" i="1"/>
  <c r="E130" i="1"/>
  <c r="M130" i="1"/>
  <c r="R131" i="1"/>
  <c r="N131" i="1"/>
  <c r="J131" i="1"/>
  <c r="F131" i="1"/>
  <c r="D146" i="1"/>
  <c r="Q131" i="1"/>
  <c r="M131" i="1"/>
  <c r="I131" i="1"/>
  <c r="E131" i="1"/>
  <c r="L131" i="1"/>
  <c r="T131" i="1"/>
  <c r="G137" i="1"/>
  <c r="D140" i="1"/>
  <c r="AB18" i="1"/>
  <c r="AB26" i="1"/>
  <c r="F121" i="1"/>
  <c r="J121" i="1"/>
  <c r="N121" i="1"/>
  <c r="E122" i="1"/>
  <c r="I122" i="1"/>
  <c r="M122" i="1"/>
  <c r="Q122" i="1"/>
  <c r="Q138" i="1"/>
  <c r="M138" i="1"/>
  <c r="I138" i="1"/>
  <c r="E138" i="1"/>
  <c r="T138" i="1"/>
  <c r="P138" i="1"/>
  <c r="L138" i="1"/>
  <c r="H138" i="1"/>
  <c r="S138" i="1"/>
  <c r="O138" i="1"/>
  <c r="K138" i="1"/>
  <c r="G138" i="1"/>
  <c r="H123" i="1"/>
  <c r="L123" i="1"/>
  <c r="P123" i="1"/>
  <c r="T123" i="1"/>
  <c r="F125" i="1"/>
  <c r="J125" i="1"/>
  <c r="N125" i="1"/>
  <c r="E126" i="1"/>
  <c r="I126" i="1"/>
  <c r="M126" i="1"/>
  <c r="Q126" i="1"/>
  <c r="E127" i="1"/>
  <c r="K127" i="1"/>
  <c r="P127" i="1"/>
  <c r="D143" i="1"/>
  <c r="Q128" i="1"/>
  <c r="M128" i="1"/>
  <c r="I128" i="1"/>
  <c r="E128" i="1"/>
  <c r="J128" i="1"/>
  <c r="O128" i="1"/>
  <c r="T128" i="1"/>
  <c r="H130" i="1"/>
  <c r="P130" i="1"/>
  <c r="G131" i="1"/>
  <c r="O131" i="1"/>
  <c r="T147" i="1"/>
  <c r="P147" i="1"/>
  <c r="L147" i="1"/>
  <c r="H147" i="1"/>
  <c r="S147" i="1"/>
  <c r="O147" i="1"/>
  <c r="K147" i="1"/>
  <c r="G147" i="1"/>
  <c r="R147" i="1"/>
  <c r="N147" i="1"/>
  <c r="J147" i="1"/>
  <c r="F147" i="1"/>
  <c r="K137" i="1"/>
  <c r="J138" i="1"/>
  <c r="Q147" i="1"/>
  <c r="K132" i="1"/>
  <c r="O132" i="1"/>
  <c r="S132" i="1"/>
  <c r="H132" i="1"/>
  <c r="L132" i="1"/>
  <c r="P132" i="1"/>
  <c r="T132" i="1"/>
  <c r="H129" i="1"/>
  <c r="L129" i="1"/>
  <c r="P129" i="1"/>
  <c r="E132" i="1"/>
  <c r="I132" i="1"/>
  <c r="M132" i="1"/>
  <c r="Q132" i="1"/>
  <c r="H89" i="1" l="1"/>
  <c r="I89" i="1" s="1"/>
  <c r="K89" i="1" s="1"/>
  <c r="L89" i="1" s="1"/>
  <c r="M89" i="1" s="1"/>
  <c r="N89" i="1" s="1"/>
  <c r="H93" i="1"/>
  <c r="I93" i="1" s="1"/>
  <c r="K93" i="1" s="1"/>
  <c r="L93" i="1" s="1"/>
  <c r="M93" i="1" s="1"/>
  <c r="N93" i="1" s="1"/>
  <c r="O82" i="1"/>
  <c r="H96" i="1"/>
  <c r="I96" i="1" s="1"/>
  <c r="K96" i="1" s="1"/>
  <c r="L96" i="1" s="1"/>
  <c r="M96" i="1" s="1"/>
  <c r="N96" i="1" s="1"/>
  <c r="O96" i="1" s="1"/>
  <c r="H95" i="1"/>
  <c r="I95" i="1" s="1"/>
  <c r="K95" i="1" s="1"/>
  <c r="L95" i="1" s="1"/>
  <c r="M95" i="1" s="1"/>
  <c r="N95" i="1" s="1"/>
  <c r="O95" i="1" s="1"/>
  <c r="AB31" i="1"/>
  <c r="AC31" i="1"/>
  <c r="AC32" i="1"/>
  <c r="AA32" i="1"/>
  <c r="AA30" i="1"/>
  <c r="AB30" i="1"/>
  <c r="R144" i="1"/>
  <c r="E144" i="1"/>
  <c r="F144" i="1"/>
  <c r="G144" i="1"/>
  <c r="T144" i="1"/>
  <c r="Q144" i="1"/>
  <c r="I144" i="1"/>
  <c r="J144" i="1"/>
  <c r="K144" i="1"/>
  <c r="S144" i="1"/>
  <c r="M144" i="1"/>
  <c r="N144" i="1"/>
  <c r="P144" i="1"/>
  <c r="H144" i="1"/>
  <c r="L144" i="1"/>
  <c r="G94" i="1"/>
  <c r="O88" i="1"/>
  <c r="T143" i="1"/>
  <c r="P143" i="1"/>
  <c r="L143" i="1"/>
  <c r="H143" i="1"/>
  <c r="S143" i="1"/>
  <c r="O143" i="1"/>
  <c r="K143" i="1"/>
  <c r="G143" i="1"/>
  <c r="R143" i="1"/>
  <c r="N143" i="1"/>
  <c r="J143" i="1"/>
  <c r="F143" i="1"/>
  <c r="E143" i="1"/>
  <c r="Q143" i="1"/>
  <c r="M143" i="1"/>
  <c r="I143" i="1"/>
  <c r="S140" i="1"/>
  <c r="O140" i="1"/>
  <c r="K140" i="1"/>
  <c r="G140" i="1"/>
  <c r="R140" i="1"/>
  <c r="N140" i="1"/>
  <c r="J140" i="1"/>
  <c r="F140" i="1"/>
  <c r="Q140" i="1"/>
  <c r="M140" i="1"/>
  <c r="I140" i="1"/>
  <c r="E140" i="1"/>
  <c r="H140" i="1"/>
  <c r="T140" i="1"/>
  <c r="P140" i="1"/>
  <c r="L140" i="1"/>
  <c r="Q146" i="1"/>
  <c r="M146" i="1"/>
  <c r="I146" i="1"/>
  <c r="E146" i="1"/>
  <c r="T146" i="1"/>
  <c r="P146" i="1"/>
  <c r="L146" i="1"/>
  <c r="H146" i="1"/>
  <c r="S146" i="1"/>
  <c r="O146" i="1"/>
  <c r="K146" i="1"/>
  <c r="G146" i="1"/>
  <c r="R146" i="1"/>
  <c r="N146" i="1"/>
  <c r="J146" i="1"/>
  <c r="F146" i="1"/>
  <c r="S136" i="1"/>
  <c r="O136" i="1"/>
  <c r="K136" i="1"/>
  <c r="G136" i="1"/>
  <c r="R136" i="1"/>
  <c r="N136" i="1"/>
  <c r="J136" i="1"/>
  <c r="F136" i="1"/>
  <c r="Q136" i="1"/>
  <c r="M136" i="1"/>
  <c r="I136" i="1"/>
  <c r="E136" i="1"/>
  <c r="L136" i="1"/>
  <c r="H136" i="1"/>
  <c r="T136" i="1"/>
  <c r="P136" i="1"/>
  <c r="T135" i="1"/>
  <c r="P135" i="1"/>
  <c r="L135" i="1"/>
  <c r="H135" i="1"/>
  <c r="S135" i="1"/>
  <c r="O135" i="1"/>
  <c r="K135" i="1"/>
  <c r="G135" i="1"/>
  <c r="R135" i="1"/>
  <c r="N135" i="1"/>
  <c r="J135" i="1"/>
  <c r="F135" i="1"/>
  <c r="M135" i="1"/>
  <c r="I135" i="1"/>
  <c r="E135" i="1"/>
  <c r="Q135" i="1"/>
  <c r="R145" i="1"/>
  <c r="N145" i="1"/>
  <c r="J145" i="1"/>
  <c r="F145" i="1"/>
  <c r="Q145" i="1"/>
  <c r="M145" i="1"/>
  <c r="I145" i="1"/>
  <c r="E145" i="1"/>
  <c r="T145" i="1"/>
  <c r="P145" i="1"/>
  <c r="L145" i="1"/>
  <c r="H145" i="1"/>
  <c r="S145" i="1"/>
  <c r="O145" i="1"/>
  <c r="K145" i="1"/>
  <c r="G145" i="1"/>
  <c r="G78" i="1"/>
  <c r="AA14" i="1"/>
  <c r="AC14" i="1"/>
  <c r="AC12" i="1"/>
  <c r="AB12" i="1"/>
  <c r="G76" i="1"/>
  <c r="G80" i="1"/>
  <c r="AA16" i="1"/>
  <c r="AB16" i="1"/>
  <c r="Q142" i="1"/>
  <c r="M142" i="1"/>
  <c r="I142" i="1"/>
  <c r="E142" i="1"/>
  <c r="T142" i="1"/>
  <c r="P142" i="1"/>
  <c r="L142" i="1"/>
  <c r="H142" i="1"/>
  <c r="S142" i="1"/>
  <c r="O142" i="1"/>
  <c r="K142" i="1"/>
  <c r="G142" i="1"/>
  <c r="F142" i="1"/>
  <c r="R142" i="1"/>
  <c r="N142" i="1"/>
  <c r="J142" i="1"/>
  <c r="R141" i="1"/>
  <c r="N141" i="1"/>
  <c r="J141" i="1"/>
  <c r="F141" i="1"/>
  <c r="Q141" i="1"/>
  <c r="M141" i="1"/>
  <c r="I141" i="1"/>
  <c r="E141" i="1"/>
  <c r="T141" i="1"/>
  <c r="P141" i="1"/>
  <c r="L141" i="1"/>
  <c r="H141" i="1"/>
  <c r="G141" i="1"/>
  <c r="S141" i="1"/>
  <c r="O141" i="1"/>
  <c r="K141" i="1"/>
  <c r="O92" i="1"/>
  <c r="T139" i="1"/>
  <c r="P139" i="1"/>
  <c r="L139" i="1"/>
  <c r="H139" i="1"/>
  <c r="S139" i="1"/>
  <c r="O139" i="1"/>
  <c r="K139" i="1"/>
  <c r="G139" i="1"/>
  <c r="R139" i="1"/>
  <c r="N139" i="1"/>
  <c r="J139" i="1"/>
  <c r="F139" i="1"/>
  <c r="I139" i="1"/>
  <c r="E139" i="1"/>
  <c r="Q139" i="1"/>
  <c r="M139" i="1"/>
  <c r="H85" i="1"/>
  <c r="I85" i="1" s="1"/>
  <c r="K85" i="1" s="1"/>
  <c r="L85" i="1" s="1"/>
  <c r="M85" i="1" s="1"/>
  <c r="N85" i="1" s="1"/>
  <c r="O84" i="1" s="1"/>
  <c r="AB32" i="1" l="1"/>
  <c r="H94" i="1"/>
  <c r="I94" i="1" s="1"/>
  <c r="K94" i="1" s="1"/>
  <c r="L94" i="1" s="1"/>
  <c r="M94" i="1" s="1"/>
  <c r="N94" i="1" s="1"/>
  <c r="O94" i="1" s="1"/>
  <c r="AC30" i="1" s="1"/>
  <c r="AA31" i="1"/>
  <c r="I148" i="1"/>
  <c r="N148" i="1"/>
  <c r="P148" i="1"/>
  <c r="M148" i="1"/>
  <c r="S148" i="1"/>
  <c r="H77" i="1"/>
  <c r="I77" i="1" s="1"/>
  <c r="K77" i="1" s="1"/>
  <c r="L77" i="1" s="1"/>
  <c r="M77" i="1" s="1"/>
  <c r="N77" i="1" s="1"/>
  <c r="H76" i="1"/>
  <c r="I76" i="1" s="1"/>
  <c r="K76" i="1" s="1"/>
  <c r="L76" i="1" s="1"/>
  <c r="M76" i="1" s="1"/>
  <c r="N76" i="1" s="1"/>
  <c r="Q148" i="1"/>
  <c r="F96" i="1" s="1"/>
  <c r="F148" i="1"/>
  <c r="G148" i="1"/>
  <c r="H148" i="1"/>
  <c r="O148" i="1"/>
  <c r="H80" i="1"/>
  <c r="I80" i="1" s="1"/>
  <c r="K80" i="1" s="1"/>
  <c r="L80" i="1" s="1"/>
  <c r="M80" i="1" s="1"/>
  <c r="N80" i="1" s="1"/>
  <c r="H81" i="1"/>
  <c r="I81" i="1" s="1"/>
  <c r="K81" i="1" s="1"/>
  <c r="L81" i="1" s="1"/>
  <c r="M81" i="1" s="1"/>
  <c r="N81" i="1" s="1"/>
  <c r="H78" i="1"/>
  <c r="I78" i="1" s="1"/>
  <c r="K78" i="1" s="1"/>
  <c r="L78" i="1" s="1"/>
  <c r="M78" i="1" s="1"/>
  <c r="N78" i="1" s="1"/>
  <c r="H79" i="1"/>
  <c r="I79" i="1" s="1"/>
  <c r="K79" i="1" s="1"/>
  <c r="L79" i="1" s="1"/>
  <c r="M79" i="1" s="1"/>
  <c r="N79" i="1" s="1"/>
  <c r="R148" i="1"/>
  <c r="T148" i="1"/>
  <c r="E148" i="1"/>
  <c r="J148" i="1"/>
  <c r="K148" i="1"/>
  <c r="L148" i="1"/>
  <c r="F97" i="1" l="1"/>
  <c r="F98" i="1"/>
  <c r="F102" i="1"/>
  <c r="F101" i="1"/>
  <c r="F90" i="1"/>
  <c r="F99" i="1"/>
  <c r="F95" i="1"/>
  <c r="F100" i="1"/>
  <c r="O76" i="1"/>
  <c r="AA12" i="1" s="1"/>
  <c r="AA39" i="1" s="1"/>
  <c r="O78" i="1"/>
  <c r="AB14" i="1" s="1"/>
  <c r="AB39" i="1" s="1"/>
  <c r="F78" i="1"/>
  <c r="AB40" i="1"/>
  <c r="Z42" i="1"/>
  <c r="AA40" i="1" s="1"/>
  <c r="F92" i="1"/>
  <c r="F76" i="1"/>
  <c r="F88" i="1"/>
  <c r="F84" i="1"/>
  <c r="F86" i="1"/>
  <c r="F82" i="1"/>
  <c r="AC40" i="1"/>
  <c r="F94" i="1"/>
  <c r="F80" i="1"/>
  <c r="O80" i="1"/>
  <c r="AC16" i="1" s="1"/>
  <c r="AC39" i="1" s="1"/>
  <c r="AA41" i="1" l="1"/>
  <c r="AC41" i="1"/>
  <c r="AB41" i="1"/>
</calcChain>
</file>

<file path=xl/sharedStrings.xml><?xml version="1.0" encoding="utf-8"?>
<sst xmlns="http://schemas.openxmlformats.org/spreadsheetml/2006/main" count="117" uniqueCount="65">
  <si>
    <t>AQL: acceptance quality limit : worst tolerable process fraction nonconforming (ISO 3951). The range is from 0.01% to 10%</t>
  </si>
  <si>
    <t>ρ*: acceptance criteria according AQL and sample size</t>
  </si>
  <si>
    <t>ρ obs : estimation of the probabilty of nonconfirming. If ρ obs &gt; ρ*, the batch is rejected</t>
  </si>
  <si>
    <t>1 - Study (ISO 3951-2)</t>
  </si>
  <si>
    <t>2 - Tolerance / Instrument / Sample size / AQL / Result</t>
  </si>
  <si>
    <t>Control Plan</t>
  </si>
  <si>
    <t>Instrument</t>
  </si>
  <si>
    <t>ISO 3951-2</t>
  </si>
  <si>
    <t>Test result</t>
  </si>
  <si>
    <t>AQL %</t>
  </si>
  <si>
    <t>N°</t>
  </si>
  <si>
    <t>Limit</t>
  </si>
  <si>
    <t>*U instrument</t>
  </si>
  <si>
    <t>sample</t>
  </si>
  <si>
    <t>perform the test</t>
  </si>
  <si>
    <t>average</t>
  </si>
  <si>
    <t>std dev</t>
  </si>
  <si>
    <t>&lt; select AQL used in this test</t>
  </si>
  <si>
    <t>2 limits</t>
  </si>
  <si>
    <t>A</t>
  </si>
  <si>
    <t>U</t>
  </si>
  <si>
    <t>col-139</t>
  </si>
  <si>
    <t>probability of good part</t>
  </si>
  <si>
    <t>L</t>
  </si>
  <si>
    <t>B</t>
  </si>
  <si>
    <t>ME-582</t>
  </si>
  <si>
    <t>C</t>
  </si>
  <si>
    <t>NA</t>
  </si>
  <si>
    <t>1 limit</t>
  </si>
  <si>
    <t>D</t>
  </si>
  <si>
    <t>E</t>
  </si>
  <si>
    <t>col-141</t>
  </si>
  <si>
    <t>F</t>
  </si>
  <si>
    <r>
      <t xml:space="preserve">*U instrument = </t>
    </r>
    <r>
      <rPr>
        <sz val="16"/>
        <color theme="1"/>
        <rFont val="Calibri"/>
        <family val="2"/>
      </rPr>
      <t>√(σ(repeatability)^2 + (resolution/√3)^2 + U(calibrator used)^2)</t>
    </r>
  </si>
  <si>
    <t>Conclusion &gt;</t>
  </si>
  <si>
    <t>ρ obs</t>
  </si>
  <si>
    <t>&lt; probability of bad part</t>
  </si>
  <si>
    <t xml:space="preserve">operator can accept or not the batch according to the defined risk </t>
  </si>
  <si>
    <t>ρ* (G1)</t>
  </si>
  <si>
    <t>&lt; acceptable risk (ISO 3951-2)</t>
  </si>
  <si>
    <t>accept/reject</t>
  </si>
  <si>
    <t>2 - Measure</t>
  </si>
  <si>
    <t>Results</t>
  </si>
  <si>
    <t>Statistic</t>
  </si>
  <si>
    <t>ρ^ estimated</t>
  </si>
  <si>
    <t>G1</t>
  </si>
  <si>
    <t>U composé</t>
  </si>
  <si>
    <t>Q</t>
  </si>
  <si>
    <t>x</t>
  </si>
  <si>
    <t>K1</t>
  </si>
  <si>
    <t>y</t>
  </si>
  <si>
    <t>w</t>
  </si>
  <si>
    <t>t</t>
  </si>
  <si>
    <t>U or L</t>
  </si>
  <si>
    <t>U and L</t>
  </si>
  <si>
    <t>s inconnu</t>
  </si>
  <si>
    <t>7.25.7</t>
  </si>
  <si>
    <t>according to sample</t>
  </si>
  <si>
    <t>according to AQL</t>
  </si>
  <si>
    <t>sum</t>
  </si>
  <si>
    <t>TABLE A1 de la norme ISO 3951-2</t>
  </si>
  <si>
    <t>TABLE A2 de la norme ISO 3951-2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</si>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</sst>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%"/>
    <numFmt numFmtId="168" formatCode="0.000%"/>
    <numFmt numFmtId="169" formatCode="0.000000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0" xfId="0" applyFont="1" applyFill="1"/>
    <xf numFmtId="0" fontId="1" fillId="5" borderId="0" xfId="0" applyFont="1" applyFill="1"/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" fillId="8" borderId="11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65" fontId="1" fillId="9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6" fontId="1" fillId="9" borderId="9" xfId="0" applyNumberFormat="1" applyFont="1" applyFill="1" applyBorder="1" applyAlignment="1">
      <alignment horizontal="center" vertical="center"/>
    </xf>
    <xf numFmtId="0" fontId="1" fillId="4" borderId="9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167" fontId="4" fillId="10" borderId="9" xfId="0" applyNumberFormat="1" applyFont="1" applyFill="1" applyBorder="1" applyAlignment="1">
      <alignment horizontal="center" vertical="center"/>
    </xf>
    <xf numFmtId="167" fontId="4" fillId="10" borderId="10" xfId="0" applyNumberFormat="1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left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168" fontId="4" fillId="12" borderId="17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68" fontId="4" fillId="12" borderId="12" xfId="0" applyNumberFormat="1" applyFont="1" applyFill="1" applyBorder="1" applyAlignment="1">
      <alignment horizontal="center" vertical="center"/>
    </xf>
    <xf numFmtId="168" fontId="4" fillId="12" borderId="9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/>
    </xf>
    <xf numFmtId="0" fontId="7" fillId="11" borderId="20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Fill="1"/>
    <xf numFmtId="10" fontId="8" fillId="0" borderId="7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textRotation="90"/>
    </xf>
    <xf numFmtId="0" fontId="2" fillId="0" borderId="0" xfId="0" applyFont="1" applyFill="1" applyBorder="1" applyAlignment="1">
      <alignment horizontal="center" vertical="center" textRotation="90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165" fontId="1" fillId="3" borderId="11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0" fontId="1" fillId="5" borderId="9" xfId="0" applyNumberFormat="1" applyFont="1" applyFill="1" applyBorder="1" applyAlignment="1">
      <alignment horizontal="center" vertical="center"/>
    </xf>
    <xf numFmtId="10" fontId="1" fillId="5" borderId="9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/>
    </xf>
    <xf numFmtId="0" fontId="1" fillId="7" borderId="9" xfId="0" applyFont="1" applyFill="1" applyBorder="1"/>
    <xf numFmtId="0" fontId="1" fillId="0" borderId="9" xfId="0" applyFont="1" applyFill="1" applyBorder="1"/>
    <xf numFmtId="0" fontId="1" fillId="0" borderId="9" xfId="0" applyFont="1" applyBorder="1"/>
    <xf numFmtId="0" fontId="1" fillId="0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168" fontId="4" fillId="12" borderId="10" xfId="0" applyNumberFormat="1" applyFont="1" applyFill="1" applyBorder="1" applyAlignment="1">
      <alignment horizontal="center" vertical="center"/>
    </xf>
    <xf numFmtId="0" fontId="2" fillId="14" borderId="9" xfId="0" applyFont="1" applyFill="1" applyBorder="1" applyAlignment="1"/>
    <xf numFmtId="0" fontId="2" fillId="14" borderId="24" xfId="0" applyFont="1" applyFill="1" applyBorder="1" applyAlignment="1"/>
    <xf numFmtId="0" fontId="6" fillId="3" borderId="0" xfId="0" applyFont="1" applyFill="1"/>
    <xf numFmtId="0" fontId="0" fillId="3" borderId="0" xfId="0" applyFill="1"/>
    <xf numFmtId="10" fontId="1" fillId="5" borderId="9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9" xfId="0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169" fontId="1" fillId="5" borderId="9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/>
    </xf>
    <xf numFmtId="167" fontId="4" fillId="10" borderId="1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center" vertical="center"/>
    </xf>
    <xf numFmtId="0" fontId="1" fillId="4" borderId="11" xfId="0" applyNumberFormat="1" applyFont="1" applyFill="1" applyBorder="1" applyAlignment="1">
      <alignment horizontal="center" vertical="center"/>
    </xf>
    <xf numFmtId="0" fontId="1" fillId="4" borderId="14" xfId="0" applyNumberFormat="1" applyFont="1" applyFill="1" applyBorder="1" applyAlignment="1">
      <alignment horizontal="center" vertical="center"/>
    </xf>
    <xf numFmtId="2" fontId="1" fillId="5" borderId="9" xfId="0" applyNumberFormat="1" applyFont="1" applyFill="1" applyBorder="1" applyAlignment="1">
      <alignment horizontal="center" vertical="center"/>
    </xf>
    <xf numFmtId="167" fontId="4" fillId="10" borderId="11" xfId="0" applyNumberFormat="1" applyFont="1" applyFill="1" applyBorder="1" applyAlignment="1">
      <alignment horizontal="center" vertical="center"/>
    </xf>
    <xf numFmtId="167" fontId="4" fillId="10" borderId="14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center" vertical="center"/>
    </xf>
    <xf numFmtId="166" fontId="1" fillId="9" borderId="9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 vertical="center" textRotation="90"/>
    </xf>
    <xf numFmtId="0" fontId="3" fillId="7" borderId="12" xfId="0" applyFont="1" applyFill="1" applyBorder="1" applyAlignment="1">
      <alignment horizontal="center" vertical="center" textRotation="90"/>
    </xf>
    <xf numFmtId="1" fontId="1" fillId="4" borderId="9" xfId="0" applyNumberFormat="1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 textRotation="90"/>
    </xf>
    <xf numFmtId="0" fontId="2" fillId="11" borderId="1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10</xdr:row>
      <xdr:rowOff>119062</xdr:rowOff>
    </xdr:from>
    <xdr:to>
      <xdr:col>14</xdr:col>
      <xdr:colOff>23812</xdr:colOff>
      <xdr:row>34</xdr:row>
      <xdr:rowOff>12129</xdr:rowOff>
    </xdr:to>
    <xdr:pic>
      <xdr:nvPicPr>
        <xdr:cNvPr id="11" name="Image 2">
          <a:extLst>
            <a:ext uri="{FF2B5EF4-FFF2-40B4-BE49-F238E27FC236}">
              <a16:creationId xmlns:a16="http://schemas.microsoft.com/office/drawing/2014/main" id="{06526B10-E56E-4C53-804D-91F4D671C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727" t="33228" r="18005" b="27115"/>
        <a:stretch/>
      </xdr:blipFill>
      <xdr:spPr>
        <a:xfrm>
          <a:off x="7143750" y="2595562"/>
          <a:ext cx="6691312" cy="6179567"/>
        </a:xfrm>
        <a:prstGeom prst="rect">
          <a:avLst/>
        </a:prstGeom>
      </xdr:spPr>
    </xdr:pic>
    <xdr:clientData/>
  </xdr:twoCellAnchor>
  <xdr:twoCellAnchor editAs="oneCell">
    <xdr:from>
      <xdr:col>1</xdr:col>
      <xdr:colOff>222553</xdr:colOff>
      <xdr:row>10</xdr:row>
      <xdr:rowOff>71437</xdr:rowOff>
    </xdr:from>
    <xdr:to>
      <xdr:col>8</xdr:col>
      <xdr:colOff>534685</xdr:colOff>
      <xdr:row>31</xdr:row>
      <xdr:rowOff>23811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28F5E849-CD31-49E2-80DA-C7C3ED475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9566" t="35952" r="15921" b="28859"/>
        <a:stretch/>
      </xdr:blipFill>
      <xdr:spPr>
        <a:xfrm>
          <a:off x="460678" y="2547937"/>
          <a:ext cx="6741507" cy="5453062"/>
        </a:xfrm>
        <a:prstGeom prst="rect">
          <a:avLst/>
        </a:prstGeom>
      </xdr:spPr>
    </xdr:pic>
    <xdr:clientData/>
  </xdr:twoCellAnchor>
  <xdr:twoCellAnchor>
    <xdr:from>
      <xdr:col>7</xdr:col>
      <xdr:colOff>77931</xdr:colOff>
      <xdr:row>12</xdr:row>
      <xdr:rowOff>119062</xdr:rowOff>
    </xdr:from>
    <xdr:to>
      <xdr:col>7</xdr:col>
      <xdr:colOff>943841</xdr:colOff>
      <xdr:row>30</xdr:row>
      <xdr:rowOff>12987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554806" y="3119437"/>
          <a:ext cx="865910" cy="46088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549853</xdr:colOff>
      <xdr:row>16</xdr:row>
      <xdr:rowOff>132053</xdr:rowOff>
    </xdr:from>
    <xdr:to>
      <xdr:col>8</xdr:col>
      <xdr:colOff>333375</xdr:colOff>
      <xdr:row>17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7978" y="4180178"/>
          <a:ext cx="6212897" cy="368009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630814</xdr:colOff>
      <xdr:row>17</xdr:row>
      <xdr:rowOff>245487</xdr:rowOff>
    </xdr:from>
    <xdr:to>
      <xdr:col>14</xdr:col>
      <xdr:colOff>32472</xdr:colOff>
      <xdr:row>19</xdr:row>
      <xdr:rowOff>52823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298314" y="4555550"/>
          <a:ext cx="6545408" cy="331211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60181</xdr:colOff>
      <xdr:row>13</xdr:row>
      <xdr:rowOff>134220</xdr:rowOff>
    </xdr:from>
    <xdr:to>
      <xdr:col>9</xdr:col>
      <xdr:colOff>1032596</xdr:colOff>
      <xdr:row>32</xdr:row>
      <xdr:rowOff>220810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918306" y="3396533"/>
          <a:ext cx="972415" cy="5063402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252556</xdr:colOff>
      <xdr:row>18</xdr:row>
      <xdr:rowOff>194829</xdr:rowOff>
    </xdr:from>
    <xdr:to>
      <xdr:col>14</xdr:col>
      <xdr:colOff>1274329</xdr:colOff>
      <xdr:row>23</xdr:row>
      <xdr:rowOff>90921</xdr:rowOff>
    </xdr:to>
    <xdr:sp macro="" textlink="">
      <xdr:nvSpPr>
        <xdr:cNvPr id="8" name="Flèche droit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6705406" y="4798579"/>
          <a:ext cx="1021773" cy="12295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121225</xdr:colOff>
      <xdr:row>38</xdr:row>
      <xdr:rowOff>122958</xdr:rowOff>
    </xdr:from>
    <xdr:to>
      <xdr:col>32</xdr:col>
      <xdr:colOff>1092200</xdr:colOff>
      <xdr:row>40</xdr:row>
      <xdr:rowOff>50800</xdr:rowOff>
    </xdr:to>
    <xdr:sp macro="" textlink="">
      <xdr:nvSpPr>
        <xdr:cNvPr id="9" name="Flèche droi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0800000">
          <a:off x="37713225" y="10511558"/>
          <a:ext cx="970975" cy="486642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51"/>
  <sheetViews>
    <sheetView showGridLines="0" tabSelected="1" zoomScale="40" zoomScaleNormal="40" workbookViewId="0">
      <selection activeCell="AH23" sqref="AH23"/>
    </sheetView>
  </sheetViews>
  <sheetFormatPr defaultColWidth="9.140625" defaultRowHeight="15" x14ac:dyDescent="0.25"/>
  <cols>
    <col min="1" max="1" width="3.7109375" customWidth="1"/>
    <col min="2" max="2" width="9.28515625" bestFit="1" customWidth="1"/>
    <col min="3" max="3" width="9.28515625" customWidth="1"/>
    <col min="4" max="4" width="6.5703125" customWidth="1"/>
    <col min="5" max="19" width="18" customWidth="1"/>
    <col min="20" max="20" width="23" customWidth="1"/>
    <col min="21" max="21" width="28.42578125" bestFit="1" customWidth="1"/>
    <col min="22" max="25" width="18" customWidth="1"/>
    <col min="26" max="26" width="22.28515625" bestFit="1" customWidth="1"/>
    <col min="27" max="254" width="18" customWidth="1"/>
    <col min="255" max="261" width="5.5703125" bestFit="1" customWidth="1"/>
  </cols>
  <sheetData>
    <row r="1" spans="3:38" ht="21.75" thickBot="1" x14ac:dyDescent="0.4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3:38" ht="21" x14ac:dyDescent="0.35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4"/>
      <c r="AG2" s="1"/>
      <c r="AH2" s="1"/>
      <c r="AI2" s="1"/>
      <c r="AJ2" s="1"/>
      <c r="AK2" s="1"/>
      <c r="AL2" s="1"/>
    </row>
    <row r="3" spans="3:38" ht="21" x14ac:dyDescent="0.35">
      <c r="C3" s="5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1"/>
      <c r="AH3" s="1"/>
      <c r="AI3" s="1"/>
      <c r="AJ3" s="1"/>
      <c r="AK3" s="1"/>
      <c r="AL3" s="1"/>
    </row>
    <row r="4" spans="3:38" ht="21.75" thickBot="1" x14ac:dyDescent="0.4">
      <c r="C4" s="8" t="s">
        <v>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"/>
      <c r="AH4" s="1"/>
      <c r="AI4" s="1"/>
      <c r="AJ4" s="1"/>
      <c r="AK4" s="1"/>
      <c r="AL4" s="1"/>
    </row>
    <row r="5" spans="3:38" ht="21.75" thickBot="1" x14ac:dyDescent="0.4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3:38" ht="15" customHeight="1" x14ac:dyDescent="0.35">
      <c r="C6" s="82" t="s">
        <v>3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4"/>
      <c r="O6" s="1"/>
      <c r="P6" s="82" t="s">
        <v>4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4"/>
      <c r="AG6" s="1"/>
      <c r="AH6" s="1"/>
      <c r="AI6" s="1"/>
      <c r="AJ6" s="1"/>
      <c r="AK6" s="1"/>
      <c r="AL6" s="1"/>
    </row>
    <row r="7" spans="3:38" ht="15.75" customHeight="1" thickBot="1" x14ac:dyDescent="0.4">
      <c r="C7" s="88"/>
      <c r="D7" s="89"/>
      <c r="E7" s="89"/>
      <c r="F7" s="89"/>
      <c r="G7" s="89"/>
      <c r="H7" s="89"/>
      <c r="I7" s="89"/>
      <c r="J7" s="89"/>
      <c r="K7" s="89"/>
      <c r="L7" s="89"/>
      <c r="M7" s="89"/>
      <c r="N7" s="90"/>
      <c r="O7" s="1"/>
      <c r="P7" s="88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"/>
      <c r="AH7" s="1"/>
      <c r="AI7" s="1"/>
      <c r="AJ7" s="1"/>
      <c r="AK7" s="1"/>
      <c r="AL7" s="1"/>
    </row>
    <row r="8" spans="3:38" ht="15.75" customHeight="1" x14ac:dyDescent="0.3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3:38" ht="21" x14ac:dyDescent="0.35">
      <c r="C9" s="115"/>
      <c r="D9" s="115"/>
      <c r="E9" s="115"/>
      <c r="F9" s="115"/>
      <c r="G9" s="11"/>
      <c r="H9" s="11"/>
      <c r="I9" s="11"/>
      <c r="J9" s="11"/>
      <c r="K9" s="11"/>
      <c r="L9" s="11"/>
      <c r="M9" s="11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3:38" ht="21" x14ac:dyDescent="0.35">
      <c r="C10" s="115"/>
      <c r="D10" s="115"/>
      <c r="E10" s="115"/>
      <c r="F10" s="115"/>
      <c r="G10" s="11"/>
      <c r="H10" s="11"/>
      <c r="I10" s="11"/>
      <c r="J10" s="11"/>
      <c r="K10" s="11"/>
      <c r="L10" s="11"/>
      <c r="M10" s="11"/>
      <c r="N10" s="11"/>
      <c r="O10" s="1"/>
      <c r="P10" s="1"/>
      <c r="Q10" s="116" t="s">
        <v>5</v>
      </c>
      <c r="R10" s="116"/>
      <c r="S10" s="116"/>
      <c r="T10" s="116" t="s">
        <v>6</v>
      </c>
      <c r="U10" s="116"/>
      <c r="V10" s="116" t="s">
        <v>7</v>
      </c>
      <c r="W10" s="116"/>
      <c r="X10" s="116" t="s">
        <v>8</v>
      </c>
      <c r="Y10" s="116"/>
      <c r="Z10" s="116"/>
      <c r="AA10" s="117" t="s">
        <v>9</v>
      </c>
      <c r="AB10" s="117"/>
      <c r="AC10" s="117"/>
      <c r="AD10" s="1"/>
      <c r="AE10" s="1"/>
      <c r="AF10" s="1"/>
      <c r="AG10" s="1"/>
      <c r="AH10" s="1"/>
      <c r="AI10" s="1"/>
      <c r="AJ10" s="1"/>
      <c r="AK10" s="1"/>
      <c r="AL10" s="1"/>
    </row>
    <row r="11" spans="3:38" ht="21" x14ac:dyDescent="0.35">
      <c r="C11" s="1"/>
      <c r="D11" s="1"/>
      <c r="E11" s="1"/>
      <c r="F11" s="1"/>
      <c r="G11" s="1"/>
      <c r="H11" s="1"/>
      <c r="I11" s="1"/>
      <c r="J11" s="1"/>
      <c r="K11" s="12"/>
      <c r="L11" s="1"/>
      <c r="M11" s="1"/>
      <c r="N11" s="1"/>
      <c r="O11" s="1"/>
      <c r="P11" s="1"/>
      <c r="Q11" s="13" t="s">
        <v>10</v>
      </c>
      <c r="R11" s="119" t="s">
        <v>11</v>
      </c>
      <c r="S11" s="119"/>
      <c r="T11" s="13" t="s">
        <v>6</v>
      </c>
      <c r="U11" s="14" t="s">
        <v>12</v>
      </c>
      <c r="V11" s="15" t="s">
        <v>9</v>
      </c>
      <c r="W11" s="15" t="s">
        <v>13</v>
      </c>
      <c r="X11" s="120" t="s">
        <v>14</v>
      </c>
      <c r="Y11" s="15" t="s">
        <v>15</v>
      </c>
      <c r="Z11" s="15" t="s">
        <v>16</v>
      </c>
      <c r="AA11" s="16">
        <v>10</v>
      </c>
      <c r="AB11" s="17">
        <v>2.5</v>
      </c>
      <c r="AC11" s="16">
        <v>0.1</v>
      </c>
      <c r="AD11" s="118" t="s">
        <v>17</v>
      </c>
      <c r="AE11" s="118"/>
      <c r="AF11" s="118"/>
      <c r="AG11" s="1"/>
      <c r="AH11" s="1"/>
      <c r="AI11" s="1"/>
      <c r="AJ11" s="1"/>
      <c r="AK11" s="1"/>
      <c r="AL11" s="1"/>
    </row>
    <row r="12" spans="3:38" ht="21" customHeight="1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9" t="s">
        <v>18</v>
      </c>
      <c r="Q12" s="105" t="s">
        <v>19</v>
      </c>
      <c r="R12" s="18" t="s">
        <v>20</v>
      </c>
      <c r="S12" s="19">
        <v>32.26</v>
      </c>
      <c r="T12" s="105" t="s">
        <v>21</v>
      </c>
      <c r="U12" s="106">
        <v>1.4999999999999999E-4</v>
      </c>
      <c r="V12" s="107">
        <v>10</v>
      </c>
      <c r="W12" s="122">
        <v>6</v>
      </c>
      <c r="X12" s="121"/>
      <c r="Y12" s="77">
        <f ca="1">IF(ISNUMBER(E50),AVERAGE(E50:J50),"")</f>
        <v>32.257348864078544</v>
      </c>
      <c r="Z12" s="77">
        <f ca="1">IF(ISNUMBER(E50),STDEV(E50:J50),"")</f>
        <v>3.6751452955583663E-3</v>
      </c>
      <c r="AA12" s="110">
        <f ca="1">IF(ISNUMBER(Z12),IF($V12=AA$11,1-O76,""),"")</f>
        <v>0.75381350033742323</v>
      </c>
      <c r="AB12" s="110" t="str">
        <f ca="1">IF(ISNUMBER(Z12),IF($V12=AB$11,1-O76,""),"")</f>
        <v/>
      </c>
      <c r="AC12" s="94" t="str">
        <f ca="1">IF(ISNUMBER(Z12),IF($V12=AC$11,1-O76,""),"")</f>
        <v/>
      </c>
      <c r="AD12" s="123" t="s">
        <v>22</v>
      </c>
      <c r="AE12" s="1"/>
      <c r="AF12" s="1"/>
      <c r="AG12" s="1"/>
      <c r="AH12" s="1"/>
      <c r="AI12" s="1"/>
      <c r="AJ12" s="1"/>
      <c r="AK12" s="1"/>
      <c r="AL12" s="1"/>
    </row>
    <row r="13" spans="3:38" ht="21" x14ac:dyDescent="0.3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80"/>
      <c r="Q13" s="105"/>
      <c r="R13" s="18" t="s">
        <v>23</v>
      </c>
      <c r="S13" s="19">
        <v>32.18</v>
      </c>
      <c r="T13" s="105"/>
      <c r="U13" s="106"/>
      <c r="V13" s="108"/>
      <c r="W13" s="122"/>
      <c r="X13" s="121"/>
      <c r="Y13" s="77"/>
      <c r="Z13" s="77"/>
      <c r="AA13" s="111"/>
      <c r="AB13" s="111"/>
      <c r="AC13" s="95"/>
      <c r="AD13" s="124"/>
      <c r="AE13" s="1"/>
      <c r="AF13" s="1"/>
      <c r="AG13" s="1"/>
      <c r="AH13" s="1"/>
      <c r="AI13" s="1"/>
      <c r="AJ13" s="1"/>
      <c r="AK13" s="1"/>
      <c r="AL13" s="1"/>
    </row>
    <row r="14" spans="3:38" ht="21" x14ac:dyDescent="0.3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80"/>
      <c r="Q14" s="105" t="s">
        <v>24</v>
      </c>
      <c r="R14" s="18" t="s">
        <v>20</v>
      </c>
      <c r="S14" s="20">
        <v>31</v>
      </c>
      <c r="T14" s="113" t="s">
        <v>25</v>
      </c>
      <c r="U14" s="114">
        <v>3.0000000000000001E-3</v>
      </c>
      <c r="V14" s="107">
        <v>2.5</v>
      </c>
      <c r="W14" s="122"/>
      <c r="X14" s="121"/>
      <c r="Y14" s="77">
        <f ca="1">IF(ISNUMBER(E51),AVERAGE(E51:J51),"")</f>
        <v>30.975171533328634</v>
      </c>
      <c r="Z14" s="77">
        <f ca="1">IF(ISNUMBER(E51),STDEV(E51:J51),"")</f>
        <v>2.6941303914241278E-3</v>
      </c>
      <c r="AA14" s="110" t="str">
        <f ca="1">IF(ISNUMBER(Z14),IF($V14=AA$11,1-O78,""),"")</f>
        <v/>
      </c>
      <c r="AB14" s="110">
        <f ca="1">IF(ISNUMBER(Z14),IF($V14=AB$11,1-O78,""),"")</f>
        <v>0.99992719934560226</v>
      </c>
      <c r="AC14" s="94" t="str">
        <f ca="1">IF(ISNUMBER(Z14),IF($V14=AC$11,1-O78,""),"")</f>
        <v/>
      </c>
      <c r="AD14" s="124"/>
      <c r="AE14" s="1"/>
      <c r="AF14" s="1"/>
      <c r="AG14" s="1"/>
      <c r="AH14" s="1"/>
      <c r="AI14" s="1"/>
      <c r="AJ14" s="1"/>
      <c r="AK14" s="1"/>
      <c r="AL14" s="1"/>
    </row>
    <row r="15" spans="3:38" ht="21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0"/>
      <c r="Q15" s="105"/>
      <c r="R15" s="18" t="s">
        <v>23</v>
      </c>
      <c r="S15" s="20">
        <v>30.95</v>
      </c>
      <c r="T15" s="113"/>
      <c r="U15" s="114"/>
      <c r="V15" s="108"/>
      <c r="W15" s="122"/>
      <c r="X15" s="121"/>
      <c r="Y15" s="77"/>
      <c r="Z15" s="77"/>
      <c r="AA15" s="111"/>
      <c r="AB15" s="111"/>
      <c r="AC15" s="95"/>
      <c r="AD15" s="124"/>
      <c r="AE15" s="1"/>
      <c r="AF15" s="1"/>
      <c r="AG15" s="1"/>
      <c r="AH15" s="1"/>
      <c r="AI15" s="1"/>
      <c r="AJ15" s="1"/>
      <c r="AK15" s="1"/>
      <c r="AL15" s="1"/>
    </row>
    <row r="16" spans="3:38" ht="21" x14ac:dyDescent="0.3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80"/>
      <c r="Q16" s="105" t="s">
        <v>26</v>
      </c>
      <c r="R16" s="18" t="s">
        <v>20</v>
      </c>
      <c r="S16" s="19">
        <v>34.799999999999997</v>
      </c>
      <c r="T16" s="105" t="s">
        <v>21</v>
      </c>
      <c r="U16" s="106">
        <v>1.5E-3</v>
      </c>
      <c r="V16" s="107">
        <v>0.1</v>
      </c>
      <c r="W16" s="122"/>
      <c r="X16" s="121"/>
      <c r="Y16" s="77">
        <f ca="1">IF(ISNUMBER(E52),AVERAGE(E52:J52),"")</f>
        <v>34.698374581464655</v>
      </c>
      <c r="Z16" s="77">
        <f ca="1">IF(ISNUMBER(E52),STDEV(E52:J52),"")</f>
        <v>2.8058055851170041E-3</v>
      </c>
      <c r="AA16" s="110" t="str">
        <f ca="1">IF(ISNUMBER(Z16),IF($V16=AA$11,1-O80,""),"")</f>
        <v/>
      </c>
      <c r="AB16" s="110" t="str">
        <f ca="1">IF(ISNUMBER(Z16),IF($V16=AB$11,1-O80,""),"")</f>
        <v/>
      </c>
      <c r="AC16" s="94">
        <f ca="1">IF(ISNUMBER(Z16),IF($V16=AC$11,1-O80,""),"")</f>
        <v>0.99992719934560226</v>
      </c>
      <c r="AD16" s="124"/>
      <c r="AE16" s="1"/>
      <c r="AF16" s="1"/>
      <c r="AG16" s="1"/>
      <c r="AH16" s="1"/>
      <c r="AI16" s="1"/>
      <c r="AJ16" s="1"/>
      <c r="AK16" s="1"/>
      <c r="AL16" s="1"/>
    </row>
    <row r="17" spans="1:261" ht="21" x14ac:dyDescent="0.35">
      <c r="P17" s="80"/>
      <c r="Q17" s="105"/>
      <c r="R17" s="18" t="s">
        <v>23</v>
      </c>
      <c r="S17" s="19">
        <v>34.6</v>
      </c>
      <c r="T17" s="105"/>
      <c r="U17" s="106"/>
      <c r="V17" s="108"/>
      <c r="W17" s="122"/>
      <c r="X17" s="121"/>
      <c r="Y17" s="77"/>
      <c r="Z17" s="77"/>
      <c r="AA17" s="111"/>
      <c r="AB17" s="111"/>
      <c r="AC17" s="95"/>
      <c r="AD17" s="124"/>
      <c r="AG17" s="1"/>
      <c r="AH17" s="1"/>
      <c r="AI17" s="1"/>
      <c r="AJ17" s="1"/>
      <c r="AK17" s="1"/>
      <c r="AL17" s="1"/>
    </row>
    <row r="18" spans="1:261" ht="21" x14ac:dyDescent="0.35">
      <c r="P18" s="80"/>
      <c r="Q18" s="105" t="s">
        <v>29</v>
      </c>
      <c r="R18" s="18" t="s">
        <v>20</v>
      </c>
      <c r="S18" s="20"/>
      <c r="T18" s="113" t="s">
        <v>21</v>
      </c>
      <c r="U18" s="114">
        <v>3.0000000000000001E-3</v>
      </c>
      <c r="V18" s="107" t="s">
        <v>27</v>
      </c>
      <c r="W18" s="122"/>
      <c r="X18" s="121"/>
      <c r="Y18" s="109" t="str">
        <f>IF(ISNUMBER(E53),AVERAGE(E53:J53),"")</f>
        <v/>
      </c>
      <c r="Z18" s="77" t="str">
        <f>IF(ISNUMBER(E53),STDEV(E53:J53),"")</f>
        <v/>
      </c>
      <c r="AA18" s="110" t="str">
        <f>IF(ISNUMBER(Z18),IF($V18=AA$11,1-O82,""),"")</f>
        <v/>
      </c>
      <c r="AB18" s="110" t="str">
        <f>IF(ISNUMBER(Z18),IF($V18=AB$11,1-O82,""),"")</f>
        <v/>
      </c>
      <c r="AC18" s="94" t="str">
        <f>IF(ISNUMBER(Z18),IF($V18=AC$11,1-O82,""),"")</f>
        <v/>
      </c>
      <c r="AD18" s="124"/>
      <c r="AG18" s="1"/>
      <c r="AH18" s="1"/>
      <c r="AI18" s="1"/>
      <c r="AJ18" s="1"/>
      <c r="AK18" s="1"/>
      <c r="AL18" s="1"/>
    </row>
    <row r="19" spans="1:261" ht="21" x14ac:dyDescent="0.25">
      <c r="P19" s="80"/>
      <c r="Q19" s="105"/>
      <c r="R19" s="18" t="s">
        <v>23</v>
      </c>
      <c r="S19" s="20"/>
      <c r="T19" s="113"/>
      <c r="U19" s="114"/>
      <c r="V19" s="108"/>
      <c r="W19" s="122"/>
      <c r="X19" s="121"/>
      <c r="Y19" s="109"/>
      <c r="Z19" s="77"/>
      <c r="AA19" s="111"/>
      <c r="AB19" s="111"/>
      <c r="AC19" s="95"/>
      <c r="AD19" s="124"/>
    </row>
    <row r="20" spans="1:261" ht="21" x14ac:dyDescent="0.25">
      <c r="P20" s="80"/>
      <c r="Q20" s="105" t="s">
        <v>30</v>
      </c>
      <c r="R20" s="18" t="s">
        <v>20</v>
      </c>
      <c r="S20" s="19"/>
      <c r="T20" s="105" t="s">
        <v>21</v>
      </c>
      <c r="U20" s="106">
        <v>3.5000000000000001E-3</v>
      </c>
      <c r="V20" s="107" t="s">
        <v>27</v>
      </c>
      <c r="W20" s="122"/>
      <c r="X20" s="121"/>
      <c r="Y20" s="109" t="str">
        <f>IF(ISNUMBER(E54),AVERAGE(E54:J54),"")</f>
        <v/>
      </c>
      <c r="Z20" s="77" t="str">
        <f>IF(ISNUMBER(E54),STDEV(E54:J54),"")</f>
        <v/>
      </c>
      <c r="AA20" s="110" t="str">
        <f>IF(ISNUMBER(Z20),IF($V20=AA$11,1-O84,""),"")</f>
        <v/>
      </c>
      <c r="AB20" s="110" t="str">
        <f>IF(ISNUMBER(Z20),IF($V20=AB$11,1-O84,""),"")</f>
        <v/>
      </c>
      <c r="AC20" s="94" t="str">
        <f>IF(ISNUMBER(Z20),IF($V20=AC$11,1-O84,""),"")</f>
        <v/>
      </c>
      <c r="AD20" s="124"/>
    </row>
    <row r="21" spans="1:261" ht="21" x14ac:dyDescent="0.25">
      <c r="P21" s="80"/>
      <c r="Q21" s="105"/>
      <c r="R21" s="18" t="s">
        <v>23</v>
      </c>
      <c r="S21" s="19"/>
      <c r="T21" s="105"/>
      <c r="U21" s="106"/>
      <c r="V21" s="108"/>
      <c r="W21" s="122"/>
      <c r="X21" s="121"/>
      <c r="Y21" s="109"/>
      <c r="Z21" s="77"/>
      <c r="AA21" s="111"/>
      <c r="AB21" s="111"/>
      <c r="AC21" s="95"/>
      <c r="AD21" s="124"/>
    </row>
    <row r="22" spans="1:261" ht="21" x14ac:dyDescent="0.25">
      <c r="P22" s="80"/>
      <c r="Q22" s="105" t="s">
        <v>32</v>
      </c>
      <c r="R22" s="18" t="s">
        <v>20</v>
      </c>
      <c r="S22" s="20"/>
      <c r="T22" s="113" t="s">
        <v>21</v>
      </c>
      <c r="U22" s="114">
        <v>3.0000000000000001E-3</v>
      </c>
      <c r="V22" s="107" t="s">
        <v>27</v>
      </c>
      <c r="W22" s="122"/>
      <c r="X22" s="121"/>
      <c r="Y22" s="109" t="str">
        <f>IF(ISNUMBER(E55),AVERAGE(E55:J55),"")</f>
        <v/>
      </c>
      <c r="Z22" s="77" t="str">
        <f>IF(ISNUMBER(E55),STDEV(E55:J55),"")</f>
        <v/>
      </c>
      <c r="AA22" s="110" t="str">
        <f>IF(ISNUMBER(Z22),IF($V22=AA$11,1-O86,""),"")</f>
        <v/>
      </c>
      <c r="AB22" s="110" t="str">
        <f>IF(ISNUMBER(Z22),IF($V22=AB$11,1-O86,""),"")</f>
        <v/>
      </c>
      <c r="AC22" s="94" t="str">
        <f>IF(ISNUMBER(Z22),IF($V22=AC$11,1-O86,""),"")</f>
        <v/>
      </c>
      <c r="AD22" s="124"/>
    </row>
    <row r="23" spans="1:261" ht="21" x14ac:dyDescent="0.25">
      <c r="P23" s="80"/>
      <c r="Q23" s="105"/>
      <c r="R23" s="18" t="s">
        <v>23</v>
      </c>
      <c r="S23" s="20"/>
      <c r="T23" s="113"/>
      <c r="U23" s="114"/>
      <c r="V23" s="108"/>
      <c r="W23" s="122"/>
      <c r="X23" s="121"/>
      <c r="Y23" s="109"/>
      <c r="Z23" s="77"/>
      <c r="AA23" s="111"/>
      <c r="AB23" s="111"/>
      <c r="AC23" s="95"/>
      <c r="AD23" s="124"/>
    </row>
    <row r="24" spans="1:261" ht="21" x14ac:dyDescent="0.25">
      <c r="P24" s="80"/>
      <c r="Q24" s="105" t="s">
        <v>62</v>
      </c>
      <c r="R24" s="18" t="s">
        <v>20</v>
      </c>
      <c r="S24" s="19"/>
      <c r="T24" s="105" t="s">
        <v>21</v>
      </c>
      <c r="U24" s="106">
        <v>1.5E-3</v>
      </c>
      <c r="V24" s="107" t="s">
        <v>27</v>
      </c>
      <c r="W24" s="122"/>
      <c r="X24" s="121"/>
      <c r="Y24" s="109" t="str">
        <f>IF(ISNUMBER(E56),AVERAGE(E56:J56),"")</f>
        <v/>
      </c>
      <c r="Z24" s="77" t="str">
        <f>IF(ISNUMBER(E56),STDEV(E56:J56),"")</f>
        <v/>
      </c>
      <c r="AA24" s="110" t="str">
        <f>IF(ISNUMBER(Z24),IF($V24=AA$11,1-O88,""),"")</f>
        <v/>
      </c>
      <c r="AB24" s="110" t="str">
        <f>IF(ISNUMBER(Z24),IF($V24=AB$11,1-O88,""),"")</f>
        <v/>
      </c>
      <c r="AC24" s="94" t="str">
        <f>IF(ISNUMBER(Z24),IF($V24=AC$11,1-O88,""),"")</f>
        <v/>
      </c>
      <c r="AD24" s="124"/>
    </row>
    <row r="25" spans="1:261" ht="21" x14ac:dyDescent="0.25">
      <c r="P25" s="80"/>
      <c r="Q25" s="105"/>
      <c r="R25" s="18" t="s">
        <v>23</v>
      </c>
      <c r="S25" s="19"/>
      <c r="T25" s="105"/>
      <c r="U25" s="106"/>
      <c r="V25" s="108"/>
      <c r="W25" s="122"/>
      <c r="X25" s="121"/>
      <c r="Y25" s="109"/>
      <c r="Z25" s="77"/>
      <c r="AA25" s="111"/>
      <c r="AB25" s="111"/>
      <c r="AC25" s="95"/>
      <c r="AD25" s="124"/>
    </row>
    <row r="26" spans="1:261" ht="21" x14ac:dyDescent="0.25">
      <c r="P26" s="80"/>
      <c r="Q26" s="105" t="s">
        <v>63</v>
      </c>
      <c r="R26" s="18" t="s">
        <v>20</v>
      </c>
      <c r="S26" s="20"/>
      <c r="T26" s="113" t="s">
        <v>21</v>
      </c>
      <c r="U26" s="114">
        <v>1.5E-3</v>
      </c>
      <c r="V26" s="107" t="s">
        <v>27</v>
      </c>
      <c r="W26" s="122"/>
      <c r="X26" s="121"/>
      <c r="Y26" s="109" t="str">
        <f>IF(ISNUMBER(E57),AVERAGE(E57:J57),"")</f>
        <v/>
      </c>
      <c r="Z26" s="77" t="str">
        <f>IF(ISNUMBER(E57),STDEV(E57:J57),"")</f>
        <v/>
      </c>
      <c r="AA26" s="110" t="str">
        <f>IF(ISNUMBER(Z26),IF($V26=AA$11,1-O90,""),"")</f>
        <v/>
      </c>
      <c r="AB26" s="110" t="str">
        <f>IF(ISNUMBER(Z26),IF($V26=AB$11,1-O90,""),"")</f>
        <v/>
      </c>
      <c r="AC26" s="94" t="str">
        <f>IF(ISNUMBER(Z26),IF($V26=AC$11,1-O90,""),"")</f>
        <v/>
      </c>
      <c r="AD26" s="124"/>
    </row>
    <row r="27" spans="1:261" ht="21" x14ac:dyDescent="0.25">
      <c r="P27" s="80"/>
      <c r="Q27" s="105"/>
      <c r="R27" s="18" t="s">
        <v>23</v>
      </c>
      <c r="S27" s="20"/>
      <c r="T27" s="113"/>
      <c r="U27" s="114"/>
      <c r="V27" s="108"/>
      <c r="W27" s="122"/>
      <c r="X27" s="121"/>
      <c r="Y27" s="109"/>
      <c r="Z27" s="77"/>
      <c r="AA27" s="111"/>
      <c r="AB27" s="111"/>
      <c r="AC27" s="95"/>
      <c r="AD27" s="124"/>
    </row>
    <row r="28" spans="1:261" ht="21" x14ac:dyDescent="0.25">
      <c r="P28" s="80"/>
      <c r="Q28" s="105" t="s">
        <v>64</v>
      </c>
      <c r="R28" s="18" t="s">
        <v>20</v>
      </c>
      <c r="S28" s="19"/>
      <c r="T28" s="105" t="s">
        <v>21</v>
      </c>
      <c r="U28" s="106">
        <v>1.5E-3</v>
      </c>
      <c r="V28" s="107" t="s">
        <v>27</v>
      </c>
      <c r="W28" s="122"/>
      <c r="X28" s="121"/>
      <c r="Y28" s="109" t="str">
        <f>IF(ISNUMBER(E58),AVERAGE(E58:J58),"")</f>
        <v/>
      </c>
      <c r="Z28" s="77" t="str">
        <f>IF(ISNUMBER(E58),STDEV(E58:J58),"")</f>
        <v/>
      </c>
      <c r="AA28" s="110" t="str">
        <f>IF(ISNUMBER(Z28),IF($V28=AA$11,1-O92,""),"")</f>
        <v/>
      </c>
      <c r="AB28" s="110" t="str">
        <f>IF(ISNUMBER(Z28),IF($V28=AB$11,1-O92,""),"")</f>
        <v/>
      </c>
      <c r="AC28" s="94" t="str">
        <f>IF(ISNUMBER(Z28),IF($V28=AC$11,1-O92,""),"")</f>
        <v/>
      </c>
      <c r="AD28" s="124"/>
    </row>
    <row r="29" spans="1:261" ht="21" x14ac:dyDescent="0.25">
      <c r="P29" s="81"/>
      <c r="Q29" s="105"/>
      <c r="R29" s="18" t="s">
        <v>23</v>
      </c>
      <c r="S29" s="19"/>
      <c r="T29" s="105"/>
      <c r="U29" s="106"/>
      <c r="V29" s="108"/>
      <c r="W29" s="122"/>
      <c r="X29" s="121"/>
      <c r="Y29" s="109"/>
      <c r="Z29" s="77"/>
      <c r="AA29" s="111"/>
      <c r="AB29" s="111"/>
      <c r="AC29" s="95"/>
      <c r="AD29" s="124"/>
    </row>
    <row r="30" spans="1:261" ht="21" customHeight="1" x14ac:dyDescent="0.25">
      <c r="P30" s="79" t="s">
        <v>28</v>
      </c>
      <c r="Q30" s="21" t="s">
        <v>29</v>
      </c>
      <c r="R30" s="18" t="s">
        <v>20</v>
      </c>
      <c r="S30" s="20">
        <v>12</v>
      </c>
      <c r="T30" s="22" t="s">
        <v>21</v>
      </c>
      <c r="U30" s="23">
        <v>1.5E-3</v>
      </c>
      <c r="V30" s="24">
        <v>0.1</v>
      </c>
      <c r="W30" s="122"/>
      <c r="X30" s="121"/>
      <c r="Y30" s="25">
        <f ca="1">IF(ISNUMBER(E59),AVERAGE(E59:J59),"")</f>
        <v>11.801826906560621</v>
      </c>
      <c r="Z30" s="25">
        <f ca="1">IF(ISNUMBER(E59),STDEV(E59:J59),"")</f>
        <v>3.7870579130701407E-3</v>
      </c>
      <c r="AA30" s="26" t="str">
        <f ca="1">IF(ISNUMBER(Z30),IF($V30=AA$11,1-O94,""),"")</f>
        <v/>
      </c>
      <c r="AB30" s="26" t="str">
        <f ca="1">IF(ISNUMBER(Z30),IF($V30=AB$11,1-O94,""),"")</f>
        <v/>
      </c>
      <c r="AC30" s="27">
        <f ca="1">IF(ISNUMBER(Z30),IF($V30=AC$11,1-O94,""),"")</f>
        <v>0.99996359967280113</v>
      </c>
      <c r="AD30" s="124"/>
    </row>
    <row r="31" spans="1:261" s="1" customFormat="1" ht="2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80"/>
      <c r="Q31" s="21" t="s">
        <v>30</v>
      </c>
      <c r="R31" s="18" t="s">
        <v>23</v>
      </c>
      <c r="S31" s="19">
        <v>12</v>
      </c>
      <c r="T31" s="21" t="s">
        <v>31</v>
      </c>
      <c r="U31" s="28">
        <v>1.5E-3</v>
      </c>
      <c r="V31" s="24">
        <v>10</v>
      </c>
      <c r="W31" s="122"/>
      <c r="X31" s="121"/>
      <c r="Y31" s="25">
        <f t="shared" ref="Y31:Y38" ca="1" si="0">IF(ISNUMBER(E60),AVERAGE(E60:J60),"")</f>
        <v>12.672014833159663</v>
      </c>
      <c r="Z31" s="25">
        <f t="shared" ref="Z31:Z38" ca="1" si="1">IF(ISNUMBER(E60),STDEV(E60:J60),"")</f>
        <v>1.9609967837610725E-3</v>
      </c>
      <c r="AA31" s="26">
        <f t="shared" ref="AA31:AA38" ca="1" si="2">IF(ISNUMBER(Z31),IF($V31=AA$11,1-O95,""),"")</f>
        <v>0.99996359967280113</v>
      </c>
      <c r="AB31" s="26" t="str">
        <f t="shared" ref="AB31:AB38" ca="1" si="3">IF(ISNUMBER(Z31),IF($V31=AB$11,1-O95,""),"")</f>
        <v/>
      </c>
      <c r="AC31" s="27" t="str">
        <f t="shared" ref="AC31:AC38" ca="1" si="4">IF(ISNUMBER(Z31),IF($V31=AC$11,1-O95,""),"")</f>
        <v/>
      </c>
      <c r="AD31" s="124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</row>
    <row r="32" spans="1:261" s="1" customFormat="1" ht="2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80"/>
      <c r="Q32" s="21" t="s">
        <v>32</v>
      </c>
      <c r="R32" s="18" t="s">
        <v>23</v>
      </c>
      <c r="S32" s="20">
        <v>11</v>
      </c>
      <c r="T32" s="22" t="s">
        <v>21</v>
      </c>
      <c r="U32" s="23">
        <v>1.5E-3</v>
      </c>
      <c r="V32" s="24">
        <v>2.5</v>
      </c>
      <c r="W32" s="122"/>
      <c r="X32" s="121"/>
      <c r="Y32" s="25">
        <f t="shared" ca="1" si="0"/>
        <v>11.00545312204671</v>
      </c>
      <c r="Z32" s="25">
        <f t="shared" ca="1" si="1"/>
        <v>3.3048917506157591E-3</v>
      </c>
      <c r="AA32" s="26" t="str">
        <f t="shared" ca="1" si="2"/>
        <v/>
      </c>
      <c r="AB32" s="26">
        <f t="shared" ca="1" si="3"/>
        <v>0.95226690838083761</v>
      </c>
      <c r="AC32" s="27" t="str">
        <f t="shared" ca="1" si="4"/>
        <v/>
      </c>
      <c r="AD32" s="124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</row>
    <row r="33" spans="1:261" s="1" customFormat="1" ht="2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80"/>
      <c r="Q33" s="21"/>
      <c r="R33" s="18"/>
      <c r="S33" s="19"/>
      <c r="T33" s="21"/>
      <c r="U33" s="28"/>
      <c r="V33" s="24" t="s">
        <v>27</v>
      </c>
      <c r="W33" s="122"/>
      <c r="X33" s="121"/>
      <c r="Y33" s="25" t="str">
        <f t="shared" si="0"/>
        <v/>
      </c>
      <c r="Z33" s="25" t="str">
        <f t="shared" si="1"/>
        <v/>
      </c>
      <c r="AA33" s="26" t="str">
        <f t="shared" si="2"/>
        <v/>
      </c>
      <c r="AB33" s="26" t="str">
        <f t="shared" si="3"/>
        <v/>
      </c>
      <c r="AC33" s="27" t="str">
        <f t="shared" si="4"/>
        <v/>
      </c>
      <c r="AD33" s="124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</row>
    <row r="34" spans="1:261" s="1" customFormat="1" ht="2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80"/>
      <c r="Q34" s="21"/>
      <c r="R34" s="18"/>
      <c r="S34" s="20"/>
      <c r="T34" s="22"/>
      <c r="U34" s="23"/>
      <c r="V34" s="24" t="s">
        <v>27</v>
      </c>
      <c r="W34" s="122"/>
      <c r="X34" s="121"/>
      <c r="Y34" s="25" t="str">
        <f t="shared" si="0"/>
        <v/>
      </c>
      <c r="Z34" s="25" t="str">
        <f t="shared" si="1"/>
        <v/>
      </c>
      <c r="AA34" s="26" t="str">
        <f t="shared" si="2"/>
        <v/>
      </c>
      <c r="AB34" s="26" t="str">
        <f t="shared" si="3"/>
        <v/>
      </c>
      <c r="AC34" s="27" t="str">
        <f t="shared" si="4"/>
        <v/>
      </c>
      <c r="AD34" s="12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</row>
    <row r="35" spans="1:261" s="1" customFormat="1" ht="2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80"/>
      <c r="Q35" s="21"/>
      <c r="R35" s="18"/>
      <c r="S35" s="19"/>
      <c r="T35" s="21"/>
      <c r="U35" s="28"/>
      <c r="V35" s="24" t="s">
        <v>27</v>
      </c>
      <c r="W35" s="122"/>
      <c r="X35" s="121"/>
      <c r="Y35" s="25" t="str">
        <f t="shared" si="0"/>
        <v/>
      </c>
      <c r="Z35" s="25" t="str">
        <f t="shared" si="1"/>
        <v/>
      </c>
      <c r="AA35" s="26" t="str">
        <f t="shared" si="2"/>
        <v/>
      </c>
      <c r="AB35" s="26" t="str">
        <f t="shared" si="3"/>
        <v/>
      </c>
      <c r="AC35" s="27" t="str">
        <f t="shared" si="4"/>
        <v/>
      </c>
      <c r="AD35" s="124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</row>
    <row r="36" spans="1:261" s="1" customFormat="1" ht="2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s="80"/>
      <c r="Q36" s="21"/>
      <c r="R36" s="18"/>
      <c r="S36" s="20"/>
      <c r="T36" s="22"/>
      <c r="U36" s="23"/>
      <c r="V36" s="24" t="s">
        <v>27</v>
      </c>
      <c r="W36" s="122"/>
      <c r="X36" s="121"/>
      <c r="Y36" s="25" t="str">
        <f t="shared" si="0"/>
        <v/>
      </c>
      <c r="Z36" s="25" t="str">
        <f t="shared" si="1"/>
        <v/>
      </c>
      <c r="AA36" s="26" t="str">
        <f t="shared" si="2"/>
        <v/>
      </c>
      <c r="AB36" s="26" t="str">
        <f t="shared" si="3"/>
        <v/>
      </c>
      <c r="AC36" s="27" t="str">
        <f t="shared" si="4"/>
        <v/>
      </c>
      <c r="AD36" s="124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</row>
    <row r="37" spans="1:261" s="1" customFormat="1" ht="2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s="80"/>
      <c r="Q37" s="21"/>
      <c r="R37" s="18"/>
      <c r="S37" s="19"/>
      <c r="T37" s="21"/>
      <c r="U37" s="28"/>
      <c r="V37" s="24" t="s">
        <v>27</v>
      </c>
      <c r="W37" s="122"/>
      <c r="X37" s="121"/>
      <c r="Y37" s="25" t="str">
        <f t="shared" si="0"/>
        <v/>
      </c>
      <c r="Z37" s="25" t="str">
        <f t="shared" si="1"/>
        <v/>
      </c>
      <c r="AA37" s="26" t="str">
        <f t="shared" si="2"/>
        <v/>
      </c>
      <c r="AB37" s="26" t="str">
        <f t="shared" si="3"/>
        <v/>
      </c>
      <c r="AC37" s="27" t="str">
        <f t="shared" si="4"/>
        <v/>
      </c>
      <c r="AD37" s="124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</row>
    <row r="38" spans="1:261" s="1" customFormat="1" ht="21.75" thickBot="1" x14ac:dyDescent="0.4">
      <c r="A38"/>
      <c r="P38" s="81"/>
      <c r="Q38" s="21"/>
      <c r="R38" s="18"/>
      <c r="S38" s="20"/>
      <c r="T38" s="22"/>
      <c r="U38" s="23"/>
      <c r="V38" s="24" t="s">
        <v>27</v>
      </c>
      <c r="W38" s="122"/>
      <c r="X38" s="121"/>
      <c r="Y38" s="25" t="str">
        <f t="shared" si="0"/>
        <v/>
      </c>
      <c r="Z38" s="25" t="str">
        <f t="shared" si="1"/>
        <v/>
      </c>
      <c r="AA38" s="26" t="str">
        <f t="shared" si="2"/>
        <v/>
      </c>
      <c r="AB38" s="26" t="str">
        <f t="shared" si="3"/>
        <v/>
      </c>
      <c r="AC38" s="27" t="str">
        <f t="shared" si="4"/>
        <v/>
      </c>
      <c r="AD38" s="124"/>
      <c r="AG38"/>
      <c r="AH38"/>
      <c r="AI38"/>
      <c r="AJ38"/>
      <c r="AK38"/>
      <c r="AL38"/>
    </row>
    <row r="39" spans="1:261" s="1" customFormat="1" ht="21" x14ac:dyDescent="0.35">
      <c r="A39"/>
      <c r="E39" s="1" t="s">
        <v>60</v>
      </c>
      <c r="J39" s="1" t="s">
        <v>61</v>
      </c>
      <c r="P39" s="29" t="s">
        <v>33</v>
      </c>
      <c r="Q39" s="30"/>
      <c r="R39" s="30"/>
      <c r="S39" s="30"/>
      <c r="T39" s="30"/>
      <c r="U39" s="30"/>
      <c r="V39" s="31"/>
      <c r="W39" s="31"/>
      <c r="X39" s="96" t="s">
        <v>34</v>
      </c>
      <c r="Y39" s="97"/>
      <c r="Z39" s="32" t="s">
        <v>35</v>
      </c>
      <c r="AA39" s="33">
        <f ca="1">IF(AA11="NA","NA",1-PRODUCT(AA12:AA38))</f>
        <v>0.24621393872063602</v>
      </c>
      <c r="AB39" s="33">
        <f ca="1">IF(AB11="NA","NA",1-PRODUCT(AB12:AB38))</f>
        <v>4.780241727325385E-2</v>
      </c>
      <c r="AC39" s="33">
        <f t="shared" ref="AB39:AC39" ca="1" si="5">IF(AC11="NA","NA",1-PRODUCT(AC12:AC38))</f>
        <v>1.0919833162892356E-4</v>
      </c>
      <c r="AD39" s="102" t="s">
        <v>36</v>
      </c>
      <c r="AE39" s="103"/>
      <c r="AF39" s="104"/>
      <c r="AG39"/>
      <c r="AI39"/>
      <c r="AJ39"/>
      <c r="AK39"/>
      <c r="AL39"/>
    </row>
    <row r="40" spans="1:261" s="1" customFormat="1" ht="21" x14ac:dyDescent="0.35">
      <c r="A40"/>
      <c r="C40"/>
      <c r="I40"/>
      <c r="P40" s="31"/>
      <c r="Q40" s="31"/>
      <c r="R40" s="31"/>
      <c r="S40" s="31"/>
      <c r="T40" s="31"/>
      <c r="U40" s="31"/>
      <c r="V40" s="31"/>
      <c r="W40" s="31"/>
      <c r="X40" s="98"/>
      <c r="Y40" s="99"/>
      <c r="Z40" s="34" t="s">
        <v>38</v>
      </c>
      <c r="AA40" s="35">
        <f>Z42/100</f>
        <v>0.2903</v>
      </c>
      <c r="AB40" s="36">
        <f>IF(AB11=E134,E148,IF(AB11=F134,F148,IF(AB11=G134,G148,IF(AB11=H134,H148,IF(AB11=I134,I148,IF(AB11=J134,J148,IF(AB11=K134,K148,IF(AB11=L134,L148,IF(AB11=M134,M148,IF(AB11=N134,N148,IF(AB11=O134,O148,IF(AB11=P134,P148,IF(AB11=Q134,Q148,IF(AB11=R134,R148,IF(AB11=S134,S148,T148)))))))))))))))/100</f>
        <v>9.2460000000000001E-2</v>
      </c>
      <c r="AC40" s="65">
        <f>IF(AC11=E134,E148,IF(AC11=F134,F148,IF(AC11=G134,G148,IF(AC11=H134,H148,IF(AC11=I134,I148,IF(AC11=J134,J148,IF(AC11=K134,K148,IF(AC11=L134,L148,IF(AC11=M134,M148,IF(AC11=N134,N148,IF(AC11=O134,O148,IF(AC11=P134,P148,IF(AC11=Q134,Q148,IF(AC11=R134,R148,IF(AC11=S134,S148,T148)))))))))))))))/100</f>
        <v>4.0210000000000003E-3</v>
      </c>
      <c r="AD40" s="66" t="s">
        <v>39</v>
      </c>
      <c r="AE40" s="66"/>
      <c r="AF40" s="67"/>
      <c r="AG40"/>
      <c r="AH40" s="68" t="s">
        <v>37</v>
      </c>
      <c r="AI40" s="69"/>
      <c r="AJ40" s="69"/>
      <c r="AK40" s="69"/>
      <c r="AL40" s="69"/>
      <c r="AM40" s="11"/>
      <c r="AN40" s="11"/>
    </row>
    <row r="41" spans="1:261" s="1" customFormat="1" ht="21.75" thickBot="1" x14ac:dyDescent="0.4">
      <c r="A41"/>
      <c r="P41" s="31"/>
      <c r="Q41" s="31"/>
      <c r="R41" s="31"/>
      <c r="S41" s="31"/>
      <c r="T41" s="31"/>
      <c r="U41" s="31"/>
      <c r="V41" s="31"/>
      <c r="W41" s="31"/>
      <c r="X41" s="100"/>
      <c r="Y41" s="101"/>
      <c r="Z41" s="37" t="s">
        <v>40</v>
      </c>
      <c r="AA41" s="38" t="str">
        <f ca="1">IF(AA39&lt;AA40,"accept","reject")</f>
        <v>accept</v>
      </c>
      <c r="AB41" s="38" t="str">
        <f ca="1">IF(AB39&lt;AB40,"accept","reject")</f>
        <v>accept</v>
      </c>
      <c r="AC41" s="38" t="str">
        <f ca="1">IF(AC39&lt;AC40,"accept","reject")</f>
        <v>accept</v>
      </c>
      <c r="AD41" s="39"/>
      <c r="AE41" s="39"/>
      <c r="AF41" s="40"/>
      <c r="AG41"/>
      <c r="AH41"/>
      <c r="AI41"/>
      <c r="AJ41"/>
      <c r="AK41"/>
      <c r="AL41"/>
    </row>
    <row r="42" spans="1:261" s="41" customFormat="1" ht="21.75" thickBot="1" x14ac:dyDescent="0.4">
      <c r="B42" s="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Z42" s="42">
        <f>IF(AA11=E134,E148,IF(AA11=F134,F148,IF(AA11=G134,G148,IF(AA11=H134,H148,IF(AA11=I134,I148,IF(AA11=J134,J148,IF(AA11=K134,K148,IF(AA11=L134,L148,IF(AA11=M134,M148,IF(AA11=N134,N148,IF(AA11=O134,O148,IF(AA11=P134,P148,IF(AA11=Q134,Q148,IF(AA11=R134,R148,IF(AA11=S134,S148,T148)))))))))))))))</f>
        <v>29.03</v>
      </c>
      <c r="AG42"/>
      <c r="AH42"/>
      <c r="AI42"/>
      <c r="AJ42"/>
      <c r="AK42"/>
      <c r="AL42"/>
      <c r="AP42" s="31"/>
      <c r="AQ42" s="31"/>
      <c r="AR42" s="31"/>
      <c r="AS42" s="31"/>
      <c r="AT42" s="31"/>
      <c r="BD42" s="31"/>
      <c r="BE42" s="31"/>
      <c r="BF42" s="31"/>
      <c r="BG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</row>
    <row r="43" spans="1:261" s="41" customFormat="1" ht="15" customHeight="1" x14ac:dyDescent="0.35">
      <c r="B43" s="43"/>
      <c r="C43" s="82" t="s">
        <v>41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4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</row>
    <row r="44" spans="1:261" s="41" customFormat="1" ht="15" customHeight="1" x14ac:dyDescent="0.35">
      <c r="B44" s="43"/>
      <c r="C44" s="85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7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</row>
    <row r="45" spans="1:261" s="41" customFormat="1" ht="15.75" customHeight="1" thickBot="1" x14ac:dyDescent="0.4">
      <c r="B45" s="43"/>
      <c r="C45" s="88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90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</row>
    <row r="46" spans="1:261" s="41" customFormat="1" ht="21" x14ac:dyDescent="0.35">
      <c r="B46" s="43"/>
      <c r="C46" s="44"/>
      <c r="D46" s="45"/>
      <c r="E46" s="45"/>
      <c r="F46" s="45"/>
      <c r="G46" s="45"/>
      <c r="H46" s="46"/>
      <c r="I46" s="47"/>
      <c r="J46" s="48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</row>
    <row r="47" spans="1:261" s="41" customFormat="1" ht="21" x14ac:dyDescent="0.35">
      <c r="B47" s="43"/>
      <c r="C47" s="44"/>
      <c r="D47" s="45"/>
      <c r="E47" s="45"/>
      <c r="F47" s="45"/>
      <c r="G47" s="45"/>
      <c r="H47" s="46"/>
      <c r="I47" s="47"/>
      <c r="J47" s="48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</row>
    <row r="48" spans="1:261" s="41" customFormat="1" ht="21" x14ac:dyDescent="0.35">
      <c r="B48" s="43"/>
      <c r="C48" s="44"/>
      <c r="E48" s="112" t="s">
        <v>42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2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  <c r="DU48" s="112"/>
      <c r="DV48" s="112"/>
      <c r="DW48" s="112"/>
      <c r="DX48" s="112"/>
      <c r="DY48" s="112"/>
      <c r="DZ48" s="112"/>
      <c r="EA48" s="112"/>
      <c r="EB48" s="112"/>
      <c r="EC48" s="112"/>
      <c r="ED48" s="112"/>
      <c r="EE48" s="112"/>
      <c r="EF48" s="112"/>
      <c r="EG48" s="112"/>
      <c r="EH48" s="112"/>
      <c r="EI48" s="112"/>
      <c r="EJ48" s="112"/>
      <c r="EK48" s="112"/>
      <c r="EL48" s="112"/>
      <c r="EM48" s="112"/>
      <c r="EN48" s="112"/>
      <c r="EO48" s="112"/>
      <c r="EP48" s="112"/>
      <c r="EQ48" s="112"/>
      <c r="ER48" s="112"/>
      <c r="ES48" s="112"/>
      <c r="ET48" s="112"/>
      <c r="EU48" s="112"/>
      <c r="EV48" s="112"/>
      <c r="EW48" s="112"/>
      <c r="EX48" s="112"/>
      <c r="EY48" s="112"/>
      <c r="EZ48" s="112"/>
      <c r="FA48" s="112"/>
      <c r="FB48" s="112"/>
      <c r="FC48" s="112"/>
      <c r="FD48" s="112"/>
      <c r="FE48" s="112"/>
      <c r="FF48" s="112"/>
      <c r="FG48" s="112"/>
      <c r="FH48" s="112"/>
      <c r="FI48" s="112"/>
      <c r="FJ48" s="112"/>
      <c r="FK48" s="112"/>
      <c r="FL48" s="112"/>
      <c r="FM48" s="112"/>
      <c r="FN48" s="112"/>
      <c r="FO48" s="112"/>
      <c r="FP48" s="112"/>
      <c r="FQ48" s="112"/>
      <c r="FR48" s="112"/>
      <c r="FS48" s="112"/>
      <c r="FT48" s="112"/>
      <c r="FU48" s="112"/>
      <c r="FV48" s="112"/>
      <c r="FW48" s="112"/>
      <c r="FX48" s="112"/>
      <c r="FY48" s="112"/>
      <c r="FZ48" s="112"/>
      <c r="GA48" s="112"/>
      <c r="GB48" s="112"/>
      <c r="GC48" s="112"/>
      <c r="GD48" s="112"/>
      <c r="GE48" s="112"/>
      <c r="GF48" s="112"/>
      <c r="GG48" s="112"/>
      <c r="GH48" s="112"/>
      <c r="GI48" s="112"/>
      <c r="GJ48" s="112"/>
      <c r="GK48" s="112"/>
      <c r="GL48" s="112"/>
      <c r="GM48" s="112"/>
      <c r="GN48" s="112"/>
      <c r="GO48" s="112"/>
      <c r="GP48" s="112"/>
      <c r="GQ48" s="112"/>
      <c r="GR48" s="112"/>
      <c r="GS48" s="112"/>
      <c r="GT48" s="112"/>
      <c r="GU48" s="112"/>
      <c r="GV48" s="112"/>
      <c r="GW48" s="112"/>
      <c r="GX48" s="112"/>
      <c r="GY48" s="112"/>
      <c r="GZ48" s="112"/>
      <c r="HA48" s="112"/>
      <c r="HB48" s="112"/>
      <c r="HC48" s="112"/>
      <c r="HD48" s="112"/>
      <c r="HE48" s="112"/>
      <c r="HF48" s="112"/>
      <c r="HG48" s="112"/>
      <c r="HH48" s="112"/>
      <c r="HI48" s="112"/>
      <c r="HJ48" s="112"/>
      <c r="HK48" s="112"/>
      <c r="HL48" s="112"/>
      <c r="HM48" s="112"/>
      <c r="HN48" s="112"/>
      <c r="HO48" s="112"/>
      <c r="HP48" s="112"/>
      <c r="HQ48" s="112"/>
      <c r="HR48" s="112"/>
      <c r="HS48" s="112"/>
      <c r="HT48" s="112"/>
      <c r="HU48" s="112"/>
      <c r="HV48" s="112"/>
      <c r="HW48" s="112"/>
      <c r="HX48" s="112"/>
      <c r="HY48" s="112"/>
      <c r="HZ48" s="112"/>
      <c r="IA48" s="112"/>
      <c r="IB48" s="112"/>
      <c r="IC48" s="112"/>
      <c r="ID48" s="112"/>
      <c r="IE48" s="112"/>
      <c r="IF48" s="112"/>
      <c r="IG48" s="112"/>
      <c r="IH48" s="112"/>
      <c r="II48" s="112"/>
      <c r="IJ48" s="112"/>
      <c r="IK48" s="112"/>
      <c r="IL48" s="112"/>
      <c r="IM48" s="112"/>
      <c r="IN48" s="112"/>
      <c r="IO48" s="112"/>
      <c r="IP48" s="112"/>
      <c r="IQ48" s="112"/>
      <c r="IR48" s="112"/>
      <c r="IS48" s="112"/>
      <c r="IT48" s="112"/>
      <c r="IU48" s="31"/>
      <c r="IV48" s="31"/>
      <c r="IW48" s="31"/>
      <c r="IX48" s="31"/>
      <c r="IY48" s="31"/>
      <c r="IZ48" s="31"/>
      <c r="JA48" s="31"/>
    </row>
    <row r="49" spans="2:261" s="41" customFormat="1" ht="21" customHeight="1" x14ac:dyDescent="0.35">
      <c r="B49" s="43"/>
      <c r="D49" s="13" t="s">
        <v>10</v>
      </c>
      <c r="E49" s="49">
        <v>1</v>
      </c>
      <c r="F49" s="49">
        <v>2</v>
      </c>
      <c r="G49" s="49">
        <v>3</v>
      </c>
      <c r="H49" s="49">
        <v>4</v>
      </c>
      <c r="I49" s="49">
        <v>5</v>
      </c>
      <c r="J49" s="49">
        <v>6</v>
      </c>
      <c r="K49" s="49">
        <v>7</v>
      </c>
      <c r="L49" s="49">
        <v>8</v>
      </c>
      <c r="M49" s="49">
        <v>9</v>
      </c>
      <c r="N49" s="49">
        <v>10</v>
      </c>
      <c r="O49" s="49">
        <v>11</v>
      </c>
      <c r="P49" s="49">
        <v>12</v>
      </c>
      <c r="Q49" s="49">
        <v>13</v>
      </c>
      <c r="R49" s="49">
        <v>14</v>
      </c>
      <c r="S49" s="49">
        <v>15</v>
      </c>
      <c r="T49" s="49">
        <v>16</v>
      </c>
      <c r="U49" s="49">
        <v>17</v>
      </c>
      <c r="V49" s="49">
        <v>18</v>
      </c>
      <c r="W49" s="49">
        <v>19</v>
      </c>
      <c r="X49" s="49">
        <v>20</v>
      </c>
      <c r="Y49" s="49">
        <v>21</v>
      </c>
      <c r="Z49" s="49">
        <v>22</v>
      </c>
      <c r="AA49" s="49">
        <v>23</v>
      </c>
      <c r="AB49" s="49">
        <v>24</v>
      </c>
      <c r="AC49" s="49">
        <v>25</v>
      </c>
      <c r="AD49" s="49">
        <v>26</v>
      </c>
      <c r="AE49" s="49">
        <v>27</v>
      </c>
      <c r="AF49" s="49">
        <v>28</v>
      </c>
      <c r="AG49" s="49">
        <v>29</v>
      </c>
      <c r="AH49" s="49">
        <v>30</v>
      </c>
      <c r="AI49" s="49">
        <v>31</v>
      </c>
      <c r="AJ49" s="49">
        <v>32</v>
      </c>
      <c r="AK49" s="49">
        <v>33</v>
      </c>
      <c r="AL49" s="49">
        <v>34</v>
      </c>
      <c r="AM49" s="49">
        <v>35</v>
      </c>
      <c r="AN49" s="49">
        <v>36</v>
      </c>
      <c r="AO49" s="49">
        <v>37</v>
      </c>
      <c r="AP49" s="49">
        <v>38</v>
      </c>
      <c r="AQ49" s="49">
        <v>39</v>
      </c>
      <c r="AR49" s="49">
        <v>40</v>
      </c>
      <c r="AS49" s="49">
        <v>41</v>
      </c>
      <c r="AT49" s="49">
        <v>42</v>
      </c>
      <c r="AU49" s="49">
        <v>43</v>
      </c>
      <c r="AV49" s="49">
        <v>44</v>
      </c>
      <c r="AW49" s="49">
        <v>45</v>
      </c>
      <c r="AX49" s="49">
        <v>46</v>
      </c>
      <c r="AY49" s="49">
        <v>47</v>
      </c>
      <c r="AZ49" s="49">
        <v>48</v>
      </c>
      <c r="BA49" s="49">
        <v>49</v>
      </c>
      <c r="BB49" s="49">
        <v>50</v>
      </c>
      <c r="BC49" s="49">
        <v>51</v>
      </c>
      <c r="BD49" s="49">
        <v>52</v>
      </c>
      <c r="BE49" s="49">
        <v>53</v>
      </c>
      <c r="BF49" s="49">
        <v>54</v>
      </c>
      <c r="BG49" s="49">
        <v>55</v>
      </c>
      <c r="BH49" s="49">
        <v>56</v>
      </c>
      <c r="BI49" s="49">
        <v>57</v>
      </c>
      <c r="BJ49" s="49">
        <v>58</v>
      </c>
      <c r="BK49" s="49">
        <v>59</v>
      </c>
      <c r="BL49" s="49">
        <v>60</v>
      </c>
      <c r="BM49" s="49">
        <v>61</v>
      </c>
      <c r="BN49" s="49">
        <v>62</v>
      </c>
      <c r="BO49" s="49">
        <v>63</v>
      </c>
      <c r="BP49" s="49">
        <v>64</v>
      </c>
      <c r="BQ49" s="49">
        <v>65</v>
      </c>
      <c r="BR49" s="49">
        <v>66</v>
      </c>
      <c r="BS49" s="49">
        <v>67</v>
      </c>
      <c r="BT49" s="49">
        <v>68</v>
      </c>
      <c r="BU49" s="49">
        <v>69</v>
      </c>
      <c r="BV49" s="49">
        <v>70</v>
      </c>
      <c r="BW49" s="49">
        <v>71</v>
      </c>
      <c r="BX49" s="49">
        <v>72</v>
      </c>
      <c r="BY49" s="49">
        <v>73</v>
      </c>
      <c r="BZ49" s="49">
        <v>74</v>
      </c>
      <c r="CA49" s="49">
        <v>75</v>
      </c>
      <c r="CB49" s="49">
        <v>76</v>
      </c>
      <c r="CC49" s="49">
        <v>77</v>
      </c>
      <c r="CD49" s="49">
        <v>78</v>
      </c>
      <c r="CE49" s="49">
        <v>79</v>
      </c>
      <c r="CF49" s="49">
        <v>80</v>
      </c>
      <c r="CG49" s="49">
        <v>81</v>
      </c>
      <c r="CH49" s="49">
        <v>82</v>
      </c>
      <c r="CI49" s="49">
        <v>83</v>
      </c>
      <c r="CJ49" s="49">
        <v>84</v>
      </c>
      <c r="CK49" s="49">
        <v>85</v>
      </c>
      <c r="CL49" s="49">
        <v>86</v>
      </c>
      <c r="CM49" s="49">
        <v>87</v>
      </c>
      <c r="CN49" s="49">
        <v>88</v>
      </c>
      <c r="CO49" s="49">
        <v>89</v>
      </c>
      <c r="CP49" s="49">
        <v>90</v>
      </c>
      <c r="CQ49" s="49">
        <v>91</v>
      </c>
      <c r="CR49" s="49">
        <v>92</v>
      </c>
      <c r="CS49" s="49">
        <v>93</v>
      </c>
      <c r="CT49" s="49">
        <v>94</v>
      </c>
      <c r="CU49" s="49">
        <v>95</v>
      </c>
      <c r="CV49" s="49">
        <v>96</v>
      </c>
      <c r="CW49" s="49">
        <v>97</v>
      </c>
      <c r="CX49" s="49">
        <v>98</v>
      </c>
      <c r="CY49" s="49">
        <v>99</v>
      </c>
      <c r="CZ49" s="49">
        <v>100</v>
      </c>
      <c r="DA49" s="49">
        <v>101</v>
      </c>
      <c r="DB49" s="49">
        <v>102</v>
      </c>
      <c r="DC49" s="49">
        <v>103</v>
      </c>
      <c r="DD49" s="49">
        <v>104</v>
      </c>
      <c r="DE49" s="49">
        <v>105</v>
      </c>
      <c r="DF49" s="49">
        <v>106</v>
      </c>
      <c r="DG49" s="49">
        <v>107</v>
      </c>
      <c r="DH49" s="49">
        <v>108</v>
      </c>
      <c r="DI49" s="49">
        <v>109</v>
      </c>
      <c r="DJ49" s="49">
        <v>110</v>
      </c>
      <c r="DK49" s="49">
        <v>111</v>
      </c>
      <c r="DL49" s="49">
        <v>112</v>
      </c>
      <c r="DM49" s="49">
        <v>113</v>
      </c>
      <c r="DN49" s="49">
        <v>114</v>
      </c>
      <c r="DO49" s="49">
        <v>115</v>
      </c>
      <c r="DP49" s="49">
        <v>116</v>
      </c>
      <c r="DQ49" s="49">
        <v>117</v>
      </c>
      <c r="DR49" s="49">
        <v>118</v>
      </c>
      <c r="DS49" s="49">
        <v>119</v>
      </c>
      <c r="DT49" s="49">
        <v>120</v>
      </c>
      <c r="DU49" s="49">
        <v>121</v>
      </c>
      <c r="DV49" s="49">
        <v>122</v>
      </c>
      <c r="DW49" s="49">
        <v>123</v>
      </c>
      <c r="DX49" s="49">
        <v>124</v>
      </c>
      <c r="DY49" s="49">
        <v>125</v>
      </c>
      <c r="DZ49" s="49">
        <v>126</v>
      </c>
      <c r="EA49" s="49">
        <v>127</v>
      </c>
      <c r="EB49" s="49">
        <v>128</v>
      </c>
      <c r="EC49" s="49">
        <v>129</v>
      </c>
      <c r="ED49" s="49">
        <v>130</v>
      </c>
      <c r="EE49" s="49">
        <v>131</v>
      </c>
      <c r="EF49" s="49">
        <v>132</v>
      </c>
      <c r="EG49" s="49">
        <v>133</v>
      </c>
      <c r="EH49" s="49">
        <v>134</v>
      </c>
      <c r="EI49" s="49">
        <v>135</v>
      </c>
      <c r="EJ49" s="49">
        <v>136</v>
      </c>
      <c r="EK49" s="49">
        <v>137</v>
      </c>
      <c r="EL49" s="49">
        <v>138</v>
      </c>
      <c r="EM49" s="49">
        <v>139</v>
      </c>
      <c r="EN49" s="49">
        <v>140</v>
      </c>
      <c r="EO49" s="49">
        <v>141</v>
      </c>
      <c r="EP49" s="49">
        <v>142</v>
      </c>
      <c r="EQ49" s="49">
        <v>143</v>
      </c>
      <c r="ER49" s="49">
        <v>144</v>
      </c>
      <c r="ES49" s="49">
        <v>145</v>
      </c>
      <c r="ET49" s="49">
        <v>146</v>
      </c>
      <c r="EU49" s="49">
        <v>147</v>
      </c>
      <c r="EV49" s="49">
        <v>148</v>
      </c>
      <c r="EW49" s="49">
        <v>149</v>
      </c>
      <c r="EX49" s="49">
        <v>150</v>
      </c>
      <c r="EY49" s="49">
        <v>151</v>
      </c>
      <c r="EZ49" s="49">
        <v>152</v>
      </c>
      <c r="FA49" s="49">
        <v>153</v>
      </c>
      <c r="FB49" s="49">
        <v>154</v>
      </c>
      <c r="FC49" s="49">
        <v>155</v>
      </c>
      <c r="FD49" s="49">
        <v>156</v>
      </c>
      <c r="FE49" s="49">
        <v>157</v>
      </c>
      <c r="FF49" s="49">
        <v>158</v>
      </c>
      <c r="FG49" s="49">
        <v>159</v>
      </c>
      <c r="FH49" s="49">
        <v>160</v>
      </c>
      <c r="FI49" s="49">
        <v>161</v>
      </c>
      <c r="FJ49" s="49">
        <v>162</v>
      </c>
      <c r="FK49" s="49">
        <v>163</v>
      </c>
      <c r="FL49" s="49">
        <v>164</v>
      </c>
      <c r="FM49" s="49">
        <v>165</v>
      </c>
      <c r="FN49" s="49">
        <v>166</v>
      </c>
      <c r="FO49" s="49">
        <v>167</v>
      </c>
      <c r="FP49" s="49">
        <v>168</v>
      </c>
      <c r="FQ49" s="49">
        <v>169</v>
      </c>
      <c r="FR49" s="49">
        <v>170</v>
      </c>
      <c r="FS49" s="49">
        <v>171</v>
      </c>
      <c r="FT49" s="49">
        <v>172</v>
      </c>
      <c r="FU49" s="49">
        <v>173</v>
      </c>
      <c r="FV49" s="49">
        <v>174</v>
      </c>
      <c r="FW49" s="49">
        <v>175</v>
      </c>
      <c r="FX49" s="49">
        <v>176</v>
      </c>
      <c r="FY49" s="49">
        <v>177</v>
      </c>
      <c r="FZ49" s="49">
        <v>178</v>
      </c>
      <c r="GA49" s="49">
        <v>179</v>
      </c>
      <c r="GB49" s="49">
        <v>180</v>
      </c>
      <c r="GC49" s="49">
        <v>181</v>
      </c>
      <c r="GD49" s="49">
        <v>182</v>
      </c>
      <c r="GE49" s="49">
        <v>183</v>
      </c>
      <c r="GF49" s="49">
        <v>184</v>
      </c>
      <c r="GG49" s="49">
        <v>185</v>
      </c>
      <c r="GH49" s="49">
        <v>186</v>
      </c>
      <c r="GI49" s="49">
        <v>187</v>
      </c>
      <c r="GJ49" s="49">
        <v>188</v>
      </c>
      <c r="GK49" s="49">
        <v>189</v>
      </c>
      <c r="GL49" s="49">
        <v>190</v>
      </c>
      <c r="GM49" s="49">
        <v>191</v>
      </c>
      <c r="GN49" s="49">
        <v>192</v>
      </c>
      <c r="GO49" s="49">
        <v>193</v>
      </c>
      <c r="GP49" s="49">
        <v>194</v>
      </c>
      <c r="GQ49" s="49">
        <v>195</v>
      </c>
      <c r="GR49" s="49">
        <v>196</v>
      </c>
      <c r="GS49" s="49">
        <v>197</v>
      </c>
      <c r="GT49" s="49">
        <v>198</v>
      </c>
      <c r="GU49" s="49">
        <v>199</v>
      </c>
      <c r="GV49" s="49">
        <v>200</v>
      </c>
      <c r="GW49" s="49">
        <v>201</v>
      </c>
      <c r="GX49" s="49">
        <v>202</v>
      </c>
      <c r="GY49" s="49">
        <v>203</v>
      </c>
      <c r="GZ49" s="49">
        <v>204</v>
      </c>
      <c r="HA49" s="49">
        <v>205</v>
      </c>
      <c r="HB49" s="49">
        <v>206</v>
      </c>
      <c r="HC49" s="49">
        <v>207</v>
      </c>
      <c r="HD49" s="49">
        <v>208</v>
      </c>
      <c r="HE49" s="49">
        <v>209</v>
      </c>
      <c r="HF49" s="49">
        <v>210</v>
      </c>
      <c r="HG49" s="49">
        <v>211</v>
      </c>
      <c r="HH49" s="49">
        <v>212</v>
      </c>
      <c r="HI49" s="49">
        <v>213</v>
      </c>
      <c r="HJ49" s="49">
        <v>214</v>
      </c>
      <c r="HK49" s="49">
        <v>215</v>
      </c>
      <c r="HL49" s="49">
        <v>216</v>
      </c>
      <c r="HM49" s="49">
        <v>217</v>
      </c>
      <c r="HN49" s="49">
        <v>218</v>
      </c>
      <c r="HO49" s="49">
        <v>219</v>
      </c>
      <c r="HP49" s="49">
        <v>220</v>
      </c>
      <c r="HQ49" s="49">
        <v>221</v>
      </c>
      <c r="HR49" s="49">
        <v>222</v>
      </c>
      <c r="HS49" s="49">
        <v>223</v>
      </c>
      <c r="HT49" s="49">
        <v>224</v>
      </c>
      <c r="HU49" s="49">
        <v>225</v>
      </c>
      <c r="HV49" s="49">
        <v>226</v>
      </c>
      <c r="HW49" s="49">
        <v>227</v>
      </c>
      <c r="HX49" s="49">
        <v>228</v>
      </c>
      <c r="HY49" s="49">
        <v>229</v>
      </c>
      <c r="HZ49" s="49">
        <v>230</v>
      </c>
      <c r="IA49" s="49">
        <v>231</v>
      </c>
      <c r="IB49" s="49">
        <v>232</v>
      </c>
      <c r="IC49" s="49">
        <v>233</v>
      </c>
      <c r="ID49" s="49">
        <v>234</v>
      </c>
      <c r="IE49" s="49">
        <v>235</v>
      </c>
      <c r="IF49" s="49">
        <v>236</v>
      </c>
      <c r="IG49" s="49">
        <v>237</v>
      </c>
      <c r="IH49" s="49">
        <v>238</v>
      </c>
      <c r="II49" s="49">
        <v>239</v>
      </c>
      <c r="IJ49" s="49">
        <v>240</v>
      </c>
      <c r="IK49" s="49">
        <v>241</v>
      </c>
      <c r="IL49" s="49">
        <v>242</v>
      </c>
      <c r="IM49" s="49">
        <v>243</v>
      </c>
      <c r="IN49" s="49">
        <v>244</v>
      </c>
      <c r="IO49" s="49">
        <v>245</v>
      </c>
      <c r="IP49" s="49">
        <v>246</v>
      </c>
      <c r="IQ49" s="49">
        <v>247</v>
      </c>
      <c r="IR49" s="49">
        <v>248</v>
      </c>
      <c r="IS49" s="49">
        <v>249</v>
      </c>
      <c r="IT49" s="49">
        <v>250</v>
      </c>
      <c r="IU49" s="31"/>
      <c r="IV49" s="31"/>
      <c r="IW49" s="31"/>
      <c r="IX49" s="31"/>
      <c r="IY49" s="31"/>
      <c r="IZ49" s="31"/>
      <c r="JA49" s="31"/>
    </row>
    <row r="50" spans="2:261" s="41" customFormat="1" ht="21" x14ac:dyDescent="0.35">
      <c r="B50" s="43"/>
      <c r="C50" s="79" t="s">
        <v>18</v>
      </c>
      <c r="D50" s="50" t="str">
        <f>IF(ISBLANK(Q12),"",Q12)</f>
        <v>A</v>
      </c>
      <c r="E50" s="51">
        <v>32.256999999999998</v>
      </c>
      <c r="F50" s="51">
        <f ca="1">$E50+(RAND()-RAND())/100</f>
        <v>32.262445797162336</v>
      </c>
      <c r="G50" s="51">
        <f t="shared" ref="G50:J61" ca="1" si="6">$E50+(RAND()-RAND())/100</f>
        <v>32.257420967690948</v>
      </c>
      <c r="H50" s="51">
        <f t="shared" ca="1" si="6"/>
        <v>32.253871501808213</v>
      </c>
      <c r="I50" s="51">
        <f t="shared" ca="1" si="6"/>
        <v>32.252906900948375</v>
      </c>
      <c r="J50" s="51">
        <f t="shared" ca="1" si="6"/>
        <v>32.26044801686141</v>
      </c>
      <c r="K50" s="51"/>
      <c r="L50" s="51"/>
      <c r="M50" s="51"/>
      <c r="N50" s="51"/>
      <c r="O50" s="52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  <c r="GC50" s="51"/>
      <c r="GD50" s="51"/>
      <c r="GE50" s="51"/>
      <c r="GF50" s="51"/>
      <c r="GG50" s="51"/>
      <c r="GH50" s="51"/>
      <c r="GI50" s="51"/>
      <c r="GJ50" s="51"/>
      <c r="GK50" s="51"/>
      <c r="GL50" s="51"/>
      <c r="GM50" s="51"/>
      <c r="GN50" s="51"/>
      <c r="GO50" s="51"/>
      <c r="GP50" s="51"/>
      <c r="GQ50" s="51"/>
      <c r="GR50" s="51"/>
      <c r="GS50" s="51"/>
      <c r="GT50" s="51"/>
      <c r="GU50" s="51"/>
      <c r="GV50" s="51"/>
      <c r="GW50" s="51"/>
      <c r="GX50" s="51"/>
      <c r="GY50" s="51"/>
      <c r="GZ50" s="51"/>
      <c r="HA50" s="51"/>
      <c r="HB50" s="51"/>
      <c r="HC50" s="51"/>
      <c r="HD50" s="51"/>
      <c r="HE50" s="51"/>
      <c r="HF50" s="51"/>
      <c r="HG50" s="51"/>
      <c r="HH50" s="51"/>
      <c r="HI50" s="51"/>
      <c r="HJ50" s="51"/>
      <c r="HK50" s="51"/>
      <c r="HL50" s="51"/>
      <c r="HM50" s="51"/>
      <c r="HN50" s="51"/>
      <c r="HO50" s="51"/>
      <c r="HP50" s="51"/>
      <c r="HQ50" s="51"/>
      <c r="HR50" s="51"/>
      <c r="HS50" s="51"/>
      <c r="HT50" s="51"/>
      <c r="HU50" s="51"/>
      <c r="HV50" s="51"/>
      <c r="HW50" s="51"/>
      <c r="HX50" s="51"/>
      <c r="HY50" s="51"/>
      <c r="HZ50" s="51"/>
      <c r="IA50" s="51"/>
      <c r="IB50" s="51"/>
      <c r="IC50" s="51"/>
      <c r="ID50" s="51"/>
      <c r="IE50" s="51"/>
      <c r="IF50" s="51"/>
      <c r="IG50" s="51"/>
      <c r="IH50" s="51"/>
      <c r="II50" s="51"/>
      <c r="IJ50" s="51"/>
      <c r="IK50" s="51"/>
      <c r="IL50" s="51"/>
      <c r="IM50" s="51"/>
      <c r="IN50" s="51"/>
      <c r="IO50" s="51"/>
      <c r="IP50" s="51"/>
      <c r="IQ50" s="51"/>
      <c r="IR50" s="51"/>
      <c r="IS50" s="51"/>
      <c r="IT50" s="51"/>
      <c r="IU50" s="31"/>
      <c r="IV50" s="31"/>
      <c r="IW50" s="31"/>
      <c r="IX50" s="31"/>
      <c r="IY50" s="31"/>
      <c r="IZ50" s="31"/>
      <c r="JA50" s="31"/>
    </row>
    <row r="51" spans="2:261" s="41" customFormat="1" ht="21" x14ac:dyDescent="0.35">
      <c r="B51" s="43"/>
      <c r="C51" s="80"/>
      <c r="D51" s="50" t="str">
        <f>IF(ISBLANK(Q14),"",Q14)</f>
        <v>B</v>
      </c>
      <c r="E51" s="20">
        <v>30.98</v>
      </c>
      <c r="F51" s="51">
        <f t="shared" ref="F51:F61" ca="1" si="7">$E51+(RAND()-RAND())/100</f>
        <v>30.973361170785555</v>
      </c>
      <c r="G51" s="51">
        <f t="shared" ca="1" si="6"/>
        <v>30.972668756303751</v>
      </c>
      <c r="H51" s="51">
        <f t="shared" ca="1" si="6"/>
        <v>30.975682419631482</v>
      </c>
      <c r="I51" s="51">
        <f t="shared" ca="1" si="6"/>
        <v>30.973507614897255</v>
      </c>
      <c r="J51" s="51">
        <f t="shared" ca="1" si="6"/>
        <v>30.975809238353776</v>
      </c>
      <c r="K51" s="20"/>
      <c r="L51" s="20"/>
      <c r="M51" s="20"/>
      <c r="N51" s="20"/>
      <c r="O51" s="52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31"/>
      <c r="IV51" s="31"/>
      <c r="IW51" s="31"/>
      <c r="IX51" s="31"/>
      <c r="IY51" s="31"/>
      <c r="IZ51" s="31"/>
      <c r="JA51" s="31"/>
    </row>
    <row r="52" spans="2:261" s="41" customFormat="1" ht="21" x14ac:dyDescent="0.35">
      <c r="B52" s="43"/>
      <c r="C52" s="80"/>
      <c r="D52" s="50" t="str">
        <f>IF(ISBLANK(Q16),"",Q16)</f>
        <v>C</v>
      </c>
      <c r="E52" s="20">
        <v>34.700000000000003</v>
      </c>
      <c r="F52" s="51">
        <f t="shared" ca="1" si="7"/>
        <v>34.694000960012424</v>
      </c>
      <c r="G52" s="51">
        <f t="shared" ca="1" si="6"/>
        <v>34.700563787969294</v>
      </c>
      <c r="H52" s="51">
        <f t="shared" ca="1" si="6"/>
        <v>34.700274075619653</v>
      </c>
      <c r="I52" s="51">
        <f t="shared" ca="1" si="6"/>
        <v>34.699740628816926</v>
      </c>
      <c r="J52" s="51">
        <f t="shared" ca="1" si="6"/>
        <v>34.695668036369625</v>
      </c>
      <c r="K52" s="20"/>
      <c r="L52" s="20"/>
      <c r="M52" s="20"/>
      <c r="N52" s="20"/>
      <c r="O52" s="52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31"/>
      <c r="IV52" s="31"/>
      <c r="IW52" s="31"/>
      <c r="IX52" s="31"/>
      <c r="IY52" s="31"/>
      <c r="IZ52" s="31"/>
      <c r="JA52" s="31"/>
    </row>
    <row r="53" spans="2:261" s="41" customFormat="1" ht="21" x14ac:dyDescent="0.35">
      <c r="B53" s="43"/>
      <c r="C53" s="80"/>
      <c r="D53" s="50" t="str">
        <f>IF(ISBLANK(Q18),"",Q18)</f>
        <v>D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31"/>
      <c r="IV53" s="31"/>
      <c r="IW53" s="31"/>
      <c r="IX53" s="31"/>
      <c r="IY53" s="31"/>
      <c r="IZ53" s="31"/>
      <c r="JA53" s="31"/>
    </row>
    <row r="54" spans="2:261" s="41" customFormat="1" ht="21" x14ac:dyDescent="0.35">
      <c r="B54" s="43"/>
      <c r="C54" s="80"/>
      <c r="D54" s="50" t="str">
        <f>IF(ISBLANK(Q20),"",Q20)</f>
        <v>E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31"/>
      <c r="IV54" s="31"/>
      <c r="IW54" s="31"/>
      <c r="IX54" s="31"/>
      <c r="IY54" s="31"/>
      <c r="IZ54" s="31"/>
      <c r="JA54" s="31"/>
    </row>
    <row r="55" spans="2:261" s="41" customFormat="1" ht="21" x14ac:dyDescent="0.35">
      <c r="B55" s="43"/>
      <c r="C55" s="80"/>
      <c r="D55" s="50" t="str">
        <f>IF(ISBLANK(Q22),"",Q22)</f>
        <v>F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31"/>
      <c r="IV55" s="31"/>
      <c r="IW55" s="31"/>
      <c r="IX55" s="31"/>
      <c r="IY55" s="31"/>
      <c r="IZ55" s="31"/>
      <c r="JA55" s="31"/>
    </row>
    <row r="56" spans="2:261" s="41" customFormat="1" ht="21" x14ac:dyDescent="0.35">
      <c r="B56" s="43"/>
      <c r="C56" s="80"/>
      <c r="D56" s="50" t="str">
        <f>IF(ISBLANK(Q24),"",Q24)</f>
        <v>G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31"/>
      <c r="IV56" s="31"/>
      <c r="IW56" s="31"/>
      <c r="IX56" s="31"/>
      <c r="IY56" s="31"/>
      <c r="IZ56" s="31"/>
      <c r="JA56" s="31"/>
    </row>
    <row r="57" spans="2:261" s="41" customFormat="1" ht="21" x14ac:dyDescent="0.35">
      <c r="B57" s="43"/>
      <c r="C57" s="80"/>
      <c r="D57" s="50" t="str">
        <f>IF(ISBLANK(Q26),"",Q26)</f>
        <v>H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31"/>
      <c r="IV57" s="31"/>
      <c r="IW57" s="31"/>
      <c r="IX57" s="31"/>
      <c r="IY57" s="31"/>
      <c r="IZ57" s="31"/>
      <c r="JA57" s="31"/>
    </row>
    <row r="58" spans="2:261" s="41" customFormat="1" ht="21" x14ac:dyDescent="0.35">
      <c r="B58" s="43"/>
      <c r="C58" s="80"/>
      <c r="D58" s="50" t="str">
        <f>IF(ISBLANK(Q28),"",Q28)</f>
        <v>I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31"/>
      <c r="IV58" s="31"/>
      <c r="IW58" s="31"/>
      <c r="IX58" s="31"/>
      <c r="IY58" s="31"/>
      <c r="IZ58" s="31"/>
      <c r="JA58" s="31"/>
    </row>
    <row r="59" spans="2:261" s="41" customFormat="1" ht="21" x14ac:dyDescent="0.35">
      <c r="B59" s="43"/>
      <c r="C59" s="79" t="s">
        <v>28</v>
      </c>
      <c r="D59" s="50" t="str">
        <f t="shared" ref="D59:D67" si="8">IF(ISBLANK(Q30),"",Q30)</f>
        <v>D</v>
      </c>
      <c r="E59" s="20">
        <v>11.8</v>
      </c>
      <c r="F59" s="51">
        <f t="shared" ca="1" si="7"/>
        <v>11.801037224454285</v>
      </c>
      <c r="G59" s="51">
        <f t="shared" ca="1" si="6"/>
        <v>11.807112872782827</v>
      </c>
      <c r="H59" s="51">
        <f t="shared" ca="1" si="6"/>
        <v>11.804886454694083</v>
      </c>
      <c r="I59" s="51">
        <f t="shared" ca="1" si="6"/>
        <v>11.801611526983898</v>
      </c>
      <c r="J59" s="51">
        <f t="shared" ca="1" si="6"/>
        <v>11.796313360448627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31"/>
      <c r="IV59" s="31"/>
      <c r="IW59" s="31"/>
      <c r="IX59" s="31"/>
      <c r="IY59" s="31"/>
      <c r="IZ59" s="31"/>
      <c r="JA59" s="31"/>
    </row>
    <row r="60" spans="2:261" s="41" customFormat="1" ht="21" x14ac:dyDescent="0.35">
      <c r="B60" s="43"/>
      <c r="C60" s="80"/>
      <c r="D60" s="50" t="str">
        <f t="shared" si="8"/>
        <v>E</v>
      </c>
      <c r="E60" s="20">
        <f ca="1">12+RAND()</f>
        <v>12.672399054521215</v>
      </c>
      <c r="F60" s="51">
        <f t="shared" ca="1" si="7"/>
        <v>12.669415378353092</v>
      </c>
      <c r="G60" s="51">
        <f t="shared" ca="1" si="6"/>
        <v>12.673224394162901</v>
      </c>
      <c r="H60" s="51">
        <f t="shared" ca="1" si="6"/>
        <v>12.670143978695688</v>
      </c>
      <c r="I60" s="51">
        <f t="shared" ca="1" si="6"/>
        <v>12.674722429669274</v>
      </c>
      <c r="J60" s="51">
        <f ca="1">$E60+(RAND()-RAND())/100</f>
        <v>12.672183763555809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31"/>
      <c r="IV60" s="31"/>
      <c r="IW60" s="31"/>
      <c r="IX60" s="31"/>
      <c r="IY60" s="31"/>
      <c r="IZ60" s="31"/>
      <c r="JA60" s="31"/>
    </row>
    <row r="61" spans="2:261" s="41" customFormat="1" ht="21" x14ac:dyDescent="0.35">
      <c r="B61" s="43"/>
      <c r="C61" s="80"/>
      <c r="D61" s="50" t="str">
        <f t="shared" si="8"/>
        <v>F</v>
      </c>
      <c r="E61" s="20">
        <f ca="1">11+RAND()/80</f>
        <v>11.00645726232716</v>
      </c>
      <c r="F61" s="51">
        <f t="shared" ca="1" si="7"/>
        <v>11.007381245796994</v>
      </c>
      <c r="G61" s="51">
        <f t="shared" ca="1" si="6"/>
        <v>10.998927044717561</v>
      </c>
      <c r="H61" s="51">
        <f t="shared" ca="1" si="6"/>
        <v>11.005654333782484</v>
      </c>
      <c r="I61" s="51">
        <f t="shared" ca="1" si="6"/>
        <v>11.008015605362818</v>
      </c>
      <c r="J61" s="51">
        <f t="shared" ca="1" si="6"/>
        <v>11.006283240293248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31"/>
      <c r="IV61" s="31"/>
      <c r="IW61" s="31"/>
      <c r="IX61" s="31"/>
      <c r="IY61" s="31"/>
      <c r="IZ61" s="31"/>
      <c r="JA61" s="31"/>
    </row>
    <row r="62" spans="2:261" s="41" customFormat="1" ht="21" x14ac:dyDescent="0.35">
      <c r="B62" s="43"/>
      <c r="C62" s="80"/>
      <c r="D62" s="50" t="str">
        <f t="shared" si="8"/>
        <v/>
      </c>
      <c r="E62" s="20"/>
      <c r="F62" s="51"/>
      <c r="G62" s="51"/>
      <c r="H62" s="51"/>
      <c r="I62" s="51"/>
      <c r="J62" s="5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31"/>
      <c r="IV62" s="31"/>
      <c r="IW62" s="31"/>
      <c r="IX62" s="31"/>
      <c r="IY62" s="31"/>
      <c r="IZ62" s="31"/>
      <c r="JA62" s="31"/>
    </row>
    <row r="63" spans="2:261" s="41" customFormat="1" ht="21" x14ac:dyDescent="0.35">
      <c r="B63" s="43"/>
      <c r="C63" s="80"/>
      <c r="D63" s="50" t="str">
        <f t="shared" si="8"/>
        <v/>
      </c>
      <c r="E63" s="20"/>
      <c r="F63" s="51"/>
      <c r="G63" s="51"/>
      <c r="H63" s="51"/>
      <c r="I63" s="51"/>
      <c r="J63" s="5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31"/>
      <c r="IV63" s="31"/>
      <c r="IW63" s="31"/>
      <c r="IX63" s="31"/>
      <c r="IY63" s="31"/>
      <c r="IZ63" s="31"/>
      <c r="JA63" s="31"/>
    </row>
    <row r="64" spans="2:261" s="41" customFormat="1" ht="21" x14ac:dyDescent="0.35">
      <c r="B64" s="43"/>
      <c r="C64" s="80"/>
      <c r="D64" s="50" t="str">
        <f t="shared" si="8"/>
        <v/>
      </c>
      <c r="E64" s="20"/>
      <c r="F64" s="51"/>
      <c r="G64" s="51"/>
      <c r="H64" s="51"/>
      <c r="I64" s="51"/>
      <c r="J64" s="5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31"/>
      <c r="IV64" s="31"/>
      <c r="IW64" s="31"/>
      <c r="IX64" s="31"/>
      <c r="IY64" s="31"/>
      <c r="IZ64" s="31"/>
      <c r="JA64" s="31"/>
    </row>
    <row r="65" spans="1:261" s="41" customFormat="1" ht="21" x14ac:dyDescent="0.35">
      <c r="B65" s="43"/>
      <c r="C65" s="80"/>
      <c r="D65" s="50" t="str">
        <f t="shared" si="8"/>
        <v/>
      </c>
      <c r="E65" s="20"/>
      <c r="F65" s="51"/>
      <c r="G65" s="51"/>
      <c r="H65" s="51"/>
      <c r="I65" s="51"/>
      <c r="J65" s="51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31"/>
      <c r="IV65" s="31"/>
      <c r="IW65" s="31"/>
      <c r="IX65" s="31"/>
      <c r="IY65" s="31"/>
      <c r="IZ65" s="31"/>
      <c r="JA65" s="31"/>
    </row>
    <row r="66" spans="1:261" s="41" customFormat="1" ht="21" x14ac:dyDescent="0.35">
      <c r="B66" s="43"/>
      <c r="C66" s="80"/>
      <c r="D66" s="50" t="str">
        <f t="shared" si="8"/>
        <v/>
      </c>
      <c r="E66" s="20"/>
      <c r="F66" s="51"/>
      <c r="G66" s="51"/>
      <c r="H66" s="51"/>
      <c r="I66" s="51"/>
      <c r="J66" s="5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31"/>
      <c r="IV66" s="31"/>
      <c r="IW66" s="31"/>
      <c r="IX66" s="31"/>
      <c r="IY66" s="31"/>
      <c r="IZ66" s="31"/>
      <c r="JA66" s="31"/>
    </row>
    <row r="67" spans="1:261" s="41" customFormat="1" ht="21" x14ac:dyDescent="0.35">
      <c r="B67" s="43"/>
      <c r="C67" s="81"/>
      <c r="D67" s="53" t="str">
        <f t="shared" si="8"/>
        <v/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31"/>
      <c r="IV67" s="31"/>
      <c r="IW67" s="31"/>
      <c r="IX67" s="31"/>
      <c r="IY67" s="31"/>
      <c r="IZ67" s="31"/>
      <c r="JA67" s="31"/>
    </row>
    <row r="68" spans="1:261" s="41" customFormat="1" ht="21" x14ac:dyDescent="0.35">
      <c r="B68" s="43"/>
      <c r="C68" s="44"/>
      <c r="D68" s="45"/>
      <c r="E68" s="45"/>
      <c r="F68" s="45"/>
      <c r="G68" s="45"/>
      <c r="H68" s="46"/>
      <c r="I68" s="47"/>
      <c r="J68" s="48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</row>
    <row r="69" spans="1:261" s="1" customFormat="1" ht="21" x14ac:dyDescent="0.35">
      <c r="A69"/>
      <c r="B69" s="43"/>
    </row>
    <row r="70" spans="1:261" s="1" customFormat="1" ht="21" hidden="1" x14ac:dyDescent="0.35">
      <c r="A70"/>
      <c r="B70" s="43"/>
      <c r="C70" s="82" t="s">
        <v>43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4"/>
    </row>
    <row r="71" spans="1:261" s="1" customFormat="1" ht="21" hidden="1" x14ac:dyDescent="0.35">
      <c r="A71"/>
      <c r="B71" s="43"/>
      <c r="C71" s="85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</row>
    <row r="72" spans="1:261" s="1" customFormat="1" ht="21.75" hidden="1" thickBot="1" x14ac:dyDescent="0.4">
      <c r="A72"/>
      <c r="B72" s="43"/>
      <c r="C72" s="88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90"/>
    </row>
    <row r="73" spans="1:261" s="1" customFormat="1" ht="21" hidden="1" x14ac:dyDescent="0.35">
      <c r="A73"/>
      <c r="B73" s="43"/>
    </row>
    <row r="74" spans="1:261" s="1" customFormat="1" ht="21" hidden="1" x14ac:dyDescent="0.35">
      <c r="A74"/>
      <c r="B74" s="43"/>
      <c r="E74" s="91"/>
      <c r="F74" s="91"/>
      <c r="G74" s="91"/>
      <c r="H74" s="91"/>
      <c r="I74" s="91"/>
      <c r="J74" s="91"/>
      <c r="K74" s="91"/>
      <c r="L74" s="91"/>
      <c r="M74" s="92"/>
      <c r="N74" s="93" t="s">
        <v>44</v>
      </c>
      <c r="O74" s="93"/>
    </row>
    <row r="75" spans="1:261" s="1" customFormat="1" ht="21" hidden="1" x14ac:dyDescent="0.35">
      <c r="A75"/>
      <c r="B75" s="43"/>
      <c r="E75" s="13" t="s">
        <v>10</v>
      </c>
      <c r="F75" s="54" t="s">
        <v>45</v>
      </c>
      <c r="G75" s="15" t="s">
        <v>46</v>
      </c>
      <c r="H75" s="15" t="s">
        <v>47</v>
      </c>
      <c r="I75" s="15" t="s">
        <v>48</v>
      </c>
      <c r="J75" s="15" t="s">
        <v>49</v>
      </c>
      <c r="K75" s="15" t="s">
        <v>50</v>
      </c>
      <c r="L75" s="15" t="s">
        <v>51</v>
      </c>
      <c r="M75" s="15" t="s">
        <v>52</v>
      </c>
      <c r="N75" s="15" t="s">
        <v>53</v>
      </c>
      <c r="O75" s="15" t="s">
        <v>54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</row>
    <row r="76" spans="1:261" s="1" customFormat="1" ht="21" hidden="1" x14ac:dyDescent="0.35">
      <c r="A76"/>
      <c r="B76" s="43"/>
      <c r="E76" s="74" t="str">
        <f>Q12</f>
        <v>A</v>
      </c>
      <c r="F76" s="75">
        <f>IF(V12=$E$134,$E$148,IF(V12=$F$134,$F$148,IF(V12=$G$134,$G$148,IF(V12=$H$134,$H$148,IF(V12=$I$134,$I$148,IF(V12=$I$134,$I$148,IF(V12=$I$134,$I$148,IF(V12=$I$134,$I$148,IF(V12=$J$134,$J$148,IF(V12=$K$134,$K$148,IF(V12=$L$134,$L$148,IF(V12=$M$134,$M$148,IF(V12=$N$134,$N$148,IF(V12=$O$134,$O$148,IF(V12=$P$134,$P$148,IF(V12=$Q$134,$Q$148,IF(V12=$R$134,$R$148,IF(V12=$S$134,$S$148,$T$148))))))))))))))))))</f>
        <v>29.03</v>
      </c>
      <c r="G76" s="77">
        <f ca="1">SQRT(Z12^2+U12^2)</f>
        <v>3.6782051252567181E-3</v>
      </c>
      <c r="H76" s="25">
        <f ca="1">IF(R12="U",(S12-Y12)/G76,(Y12-S12)/G76)</f>
        <v>0.72076891613509297</v>
      </c>
      <c r="I76" s="25">
        <f t="shared" ref="I76:I94" ca="1" si="9">(1-H76*SQRT(W$12)/(W$12-1))*0.5</f>
        <v>0.3234483933010141</v>
      </c>
      <c r="J76" s="78">
        <f>IF(W12=6,0.880496,IF(W12=9,1.230248,IF(W12=13,1.583745,IF(W12=18,1.937919,IF(W12=25,2.346014,IF(W12=35,2.828887,IF(W12=50,3.428086,IF(W12=70,4.092828,IF(W12=95,4.795926,IF(W12=125,5.522742,IF(W12=160,6.265024,IF(W12=200,7.017865,IF(W12=250,7.858138,"")))))))))))))</f>
        <v>0.88049599999999995</v>
      </c>
      <c r="K76" s="25">
        <f t="shared" ref="K76:K94" ca="1" si="10">IF(I76&lt;0,-8,J$76*LN(I76/(1-I76)))</f>
        <v>-0.64977888861695787</v>
      </c>
      <c r="L76" s="25">
        <f t="shared" ref="L76:L94" ca="1" si="11">K76^2-3</f>
        <v>-2.5777873959077109</v>
      </c>
      <c r="M76" s="25">
        <f t="shared" ref="M76:M94" ca="1" si="12">IF(L76&gt;0,(12*(W$12-1)*K76)/(12*(W$12-1)+L76),(12*(W$12-2)*K76)/(12*(W$12-2)+L76))</f>
        <v>-0.68665493963198065</v>
      </c>
      <c r="N76" s="55">
        <f t="shared" ref="N76:N94" ca="1" si="13">NORMSDIST(M76)</f>
        <v>0.24615009933537785</v>
      </c>
      <c r="O76" s="70">
        <f ca="1">N76+N77</f>
        <v>0.24618649966257675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</row>
    <row r="77" spans="1:261" s="1" customFormat="1" ht="21" hidden="1" x14ac:dyDescent="0.35">
      <c r="A77"/>
      <c r="B77" s="43"/>
      <c r="E77" s="74"/>
      <c r="F77" s="76"/>
      <c r="G77" s="77"/>
      <c r="H77" s="25">
        <f ca="1">IF(R13="U",(S13-Y12)/G76,(Y12-S13)/G76)</f>
        <v>21.028969686171582</v>
      </c>
      <c r="I77" s="25">
        <f t="shared" ca="1" si="9"/>
        <v>-4.6510245547575675</v>
      </c>
      <c r="J77" s="78"/>
      <c r="K77" s="25">
        <f t="shared" ca="1" si="10"/>
        <v>-8</v>
      </c>
      <c r="L77" s="25">
        <f t="shared" ca="1" si="11"/>
        <v>61</v>
      </c>
      <c r="M77" s="25">
        <f t="shared" ca="1" si="12"/>
        <v>-3.9669421487603307</v>
      </c>
      <c r="N77" s="55">
        <f t="shared" ca="1" si="13"/>
        <v>3.6400327198895288E-5</v>
      </c>
      <c r="O77" s="70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</row>
    <row r="78" spans="1:261" s="1" customFormat="1" ht="21" hidden="1" x14ac:dyDescent="0.35">
      <c r="A78"/>
      <c r="B78" s="43"/>
      <c r="E78" s="74" t="str">
        <f>Q14</f>
        <v>B</v>
      </c>
      <c r="F78" s="75">
        <f>IF(V14=$E$134,$E$148,IF(V14=$F$134,$F$148,IF(V14=$G$134,$G$148,IF(V14=$H$134,$H$148,IF(V14=$I$134,$I$148,IF(V14=$I$134,$I$148,IF(V14=$I$134,$I$148,IF(V14=$I$134,$I$148,IF(V14=$J$134,$J$148,IF(V14=$K$134,$K$148,IF(V14=$L$134,$L$148,IF(V14=$M$134,$M$148,IF(V14=$N$134,$N$148,IF(V14=$O$134,$O$148,IF(V14=$P$134,$P$148,IF(V14=$Q$134,$Q$148,IF(V14=$R$134,$R$148,IF(V14=$S$134,$S$148,$T$148))))))))))))))))))</f>
        <v>9.2460000000000004</v>
      </c>
      <c r="G78" s="77">
        <f ca="1">SQRT(Z14^2+U14^2)</f>
        <v>4.0321630133211533E-3</v>
      </c>
      <c r="H78" s="25">
        <f ca="1">IF(R14="U",(S14-Y14)/G78,(Y14-S14)/G78)</f>
        <v>6.1576048858489711</v>
      </c>
      <c r="I78" s="25">
        <f t="shared" ca="1" si="9"/>
        <v>-1.0082990007998636</v>
      </c>
      <c r="J78" s="78"/>
      <c r="K78" s="25">
        <f t="shared" ca="1" si="10"/>
        <v>-8</v>
      </c>
      <c r="L78" s="25">
        <f t="shared" ca="1" si="11"/>
        <v>61</v>
      </c>
      <c r="M78" s="25">
        <f t="shared" ca="1" si="12"/>
        <v>-3.9669421487603307</v>
      </c>
      <c r="N78" s="55">
        <f t="shared" ca="1" si="13"/>
        <v>3.6400327198895288E-5</v>
      </c>
      <c r="O78" s="70">
        <f ca="1">N78+N79</f>
        <v>7.2800654397790575E-5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</row>
    <row r="79" spans="1:261" s="1" customFormat="1" ht="21" hidden="1" x14ac:dyDescent="0.35">
      <c r="A79"/>
      <c r="B79" s="43"/>
      <c r="E79" s="74"/>
      <c r="F79" s="76"/>
      <c r="G79" s="77"/>
      <c r="H79" s="25">
        <f ca="1">IF(R15="U",(S15-Y14)/G78,(Y14-S15)/G78)</f>
        <v>6.2426874224764894</v>
      </c>
      <c r="I79" s="25">
        <f t="shared" ca="1" si="9"/>
        <v>-1.0291398808757717</v>
      </c>
      <c r="J79" s="78"/>
      <c r="K79" s="25">
        <f t="shared" ca="1" si="10"/>
        <v>-8</v>
      </c>
      <c r="L79" s="25">
        <f t="shared" ca="1" si="11"/>
        <v>61</v>
      </c>
      <c r="M79" s="25">
        <f t="shared" ca="1" si="12"/>
        <v>-3.9669421487603307</v>
      </c>
      <c r="N79" s="55">
        <f t="shared" ca="1" si="13"/>
        <v>3.6400327198895288E-5</v>
      </c>
      <c r="O79" s="70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</row>
    <row r="80" spans="1:261" s="1" customFormat="1" ht="21" hidden="1" x14ac:dyDescent="0.35">
      <c r="A80"/>
      <c r="B80" s="43"/>
      <c r="E80" s="74" t="str">
        <f>Q16</f>
        <v>C</v>
      </c>
      <c r="F80" s="75">
        <f>IF(V16=$E$134,$E$148,IF(V16=$F$134,$F$148,IF(V16=$G$134,$G$148,IF(V16=$H$134,$H$148,IF(V16=$I$134,$I$148,IF(V16=$I$134,$I$148,IF(V16=$I$134,$I$148,IF(V16=$I$134,$I$148,IF(V16=$J$134,$J$148,IF(V16=$K$134,$K$148,IF(V16=$L$134,$L$148,IF(V16=$M$134,$M$148,IF(V16=$N$134,$N$148,IF(V16=$O$134,$O$148,IF(V16=$P$134,$P$148,IF(V16=$Q$134,$Q$148,IF(V16=$R$134,$R$148,IF(V16=$S$134,$S$148,$T$148))))))))))))))))))</f>
        <v>0.40210000000000001</v>
      </c>
      <c r="G80" s="77">
        <f ca="1">SQRT(Z16^2+U16^2)</f>
        <v>3.1815947230082234E-3</v>
      </c>
      <c r="H80" s="25">
        <f ca="1">IF(R16="U",(S16-Y16)/G80,(Y16-S16)/G80)</f>
        <v>31.941660513962049</v>
      </c>
      <c r="I80" s="25">
        <f t="shared" ca="1" si="9"/>
        <v>-7.3240769796412497</v>
      </c>
      <c r="J80" s="78"/>
      <c r="K80" s="25">
        <f t="shared" ca="1" si="10"/>
        <v>-8</v>
      </c>
      <c r="L80" s="25">
        <f t="shared" ca="1" si="11"/>
        <v>61</v>
      </c>
      <c r="M80" s="25">
        <f t="shared" ca="1" si="12"/>
        <v>-3.9669421487603307</v>
      </c>
      <c r="N80" s="55">
        <f t="shared" ca="1" si="13"/>
        <v>3.6400327198895288E-5</v>
      </c>
      <c r="O80" s="70">
        <f ca="1">N80+N81</f>
        <v>7.2800654397790575E-5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</row>
    <row r="81" spans="1:261" s="1" customFormat="1" ht="21" hidden="1" x14ac:dyDescent="0.35">
      <c r="A81"/>
      <c r="B81" s="43"/>
      <c r="E81" s="74"/>
      <c r="F81" s="76"/>
      <c r="G81" s="77"/>
      <c r="H81" s="25">
        <f ca="1">IF(R17="U",(S17-Y16)/G80,(Y16-S17)/G80)</f>
        <v>30.919897104820436</v>
      </c>
      <c r="I81" s="25">
        <f t="shared" ca="1" si="9"/>
        <v>-7.0737970806168935</v>
      </c>
      <c r="J81" s="78"/>
      <c r="K81" s="25">
        <f t="shared" ca="1" si="10"/>
        <v>-8</v>
      </c>
      <c r="L81" s="25">
        <f t="shared" ca="1" si="11"/>
        <v>61</v>
      </c>
      <c r="M81" s="25">
        <f t="shared" ca="1" si="12"/>
        <v>-3.9669421487603307</v>
      </c>
      <c r="N81" s="55">
        <f t="shared" ca="1" si="13"/>
        <v>3.6400327198895288E-5</v>
      </c>
      <c r="O81" s="70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</row>
    <row r="82" spans="1:261" s="1" customFormat="1" ht="21" hidden="1" x14ac:dyDescent="0.35">
      <c r="A82"/>
      <c r="B82" s="43"/>
      <c r="E82" s="74" t="str">
        <f>Q18</f>
        <v>D</v>
      </c>
      <c r="F82" s="75">
        <f>IF(V18=$E$134,$E$148,IF(V18=$F$134,$F$148,IF(V18=$G$134,$G$148,IF(V18=$H$134,$H$148,IF(V18=$I$134,$I$148,IF(V18=$I$134,$I$148,IF(V18=$I$134,$I$148,IF(V18=$I$134,$I$148,IF(V18=$J$134,$J$148,IF(V18=$K$134,$K$148,IF(V18=$L$134,$L$148,IF(V18=$M$134,$M$148,IF(V18=$N$134,$N$148,IF(V18=$O$134,$O$148,IF(V18=$P$134,$P$148,IF(V18=$Q$134,$Q$148,IF(V18=$R$134,$R$148,IF(V18=$S$134,$S$148,$T$148))))))))))))))))))</f>
        <v>29.03</v>
      </c>
      <c r="G82" s="77" t="e">
        <f>SQRT(Z18^2+U18^2)</f>
        <v>#VALUE!</v>
      </c>
      <c r="H82" s="25" t="e">
        <f>IF(R18="U",(S18-Y18)/G82,(Y18-S18)/G82)</f>
        <v>#VALUE!</v>
      </c>
      <c r="I82" s="25" t="e">
        <f t="shared" si="9"/>
        <v>#VALUE!</v>
      </c>
      <c r="J82" s="78"/>
      <c r="K82" s="25" t="e">
        <f t="shared" si="10"/>
        <v>#VALUE!</v>
      </c>
      <c r="L82" s="25" t="e">
        <f t="shared" si="11"/>
        <v>#VALUE!</v>
      </c>
      <c r="M82" s="25" t="e">
        <f t="shared" si="12"/>
        <v>#VALUE!</v>
      </c>
      <c r="N82" s="55" t="e">
        <f t="shared" si="13"/>
        <v>#VALUE!</v>
      </c>
      <c r="O82" s="70" t="e">
        <f>N82+N83</f>
        <v>#VALUE!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</row>
    <row r="83" spans="1:261" s="1" customFormat="1" ht="21" hidden="1" x14ac:dyDescent="0.35">
      <c r="A83"/>
      <c r="B83" s="43"/>
      <c r="E83" s="74"/>
      <c r="F83" s="76"/>
      <c r="G83" s="77"/>
      <c r="H83" s="25" t="e">
        <f>IF(R19="U",(S19-Y18)/G82,(Y18-S19)/G82)</f>
        <v>#VALUE!</v>
      </c>
      <c r="I83" s="25" t="e">
        <f t="shared" si="9"/>
        <v>#VALUE!</v>
      </c>
      <c r="J83" s="78"/>
      <c r="K83" s="25" t="e">
        <f t="shared" si="10"/>
        <v>#VALUE!</v>
      </c>
      <c r="L83" s="25" t="e">
        <f t="shared" si="11"/>
        <v>#VALUE!</v>
      </c>
      <c r="M83" s="25" t="e">
        <f t="shared" si="12"/>
        <v>#VALUE!</v>
      </c>
      <c r="N83" s="55" t="e">
        <f t="shared" si="13"/>
        <v>#VALUE!</v>
      </c>
      <c r="O83" s="70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</row>
    <row r="84" spans="1:261" s="1" customFormat="1" ht="21" hidden="1" x14ac:dyDescent="0.35">
      <c r="A84"/>
      <c r="B84" s="43"/>
      <c r="E84" s="74" t="str">
        <f>Q20</f>
        <v>E</v>
      </c>
      <c r="F84" s="75">
        <f>IF(V20=$E$134,$E$148,IF(V20=$F$134,$F$148,IF(V20=$G$134,$G$148,IF(V20=$H$134,$H$148,IF(V20=$I$134,$I$148,IF(V20=$I$134,$I$148,IF(V20=$I$134,$I$148,IF(V20=$I$134,$I$148,IF(V20=$J$134,$J$148,IF(V20=$K$134,$K$148,IF(V20=$L$134,$L$148,IF(V20=$M$134,$M$148,IF(V20=$N$134,$N$148,IF(V20=$O$134,$O$148,IF(V20=$P$134,$P$148,IF(V20=$Q$134,$Q$148,IF(V20=$R$134,$R$148,IF(V20=$S$134,$S$148,$T$148))))))))))))))))))</f>
        <v>29.03</v>
      </c>
      <c r="G84" s="77" t="e">
        <f>SQRT(Z20^2+U20^2)</f>
        <v>#VALUE!</v>
      </c>
      <c r="H84" s="25" t="e">
        <f>IF(R20="U",(S20-Y20)/G84,(Y20-S20)/G84)</f>
        <v>#VALUE!</v>
      </c>
      <c r="I84" s="25" t="e">
        <f t="shared" si="9"/>
        <v>#VALUE!</v>
      </c>
      <c r="J84" s="78"/>
      <c r="K84" s="25" t="e">
        <f t="shared" si="10"/>
        <v>#VALUE!</v>
      </c>
      <c r="L84" s="25" t="e">
        <f t="shared" si="11"/>
        <v>#VALUE!</v>
      </c>
      <c r="M84" s="25" t="e">
        <f t="shared" si="12"/>
        <v>#VALUE!</v>
      </c>
      <c r="N84" s="55" t="e">
        <f t="shared" si="13"/>
        <v>#VALUE!</v>
      </c>
      <c r="O84" s="70" t="e">
        <f>N84+N85</f>
        <v>#VALUE!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</row>
    <row r="85" spans="1:261" s="1" customFormat="1" ht="21" hidden="1" x14ac:dyDescent="0.35">
      <c r="A85"/>
      <c r="B85" s="43"/>
      <c r="E85" s="74"/>
      <c r="F85" s="76"/>
      <c r="G85" s="77"/>
      <c r="H85" s="25" t="e">
        <f>IF(R21="U",(S21-Y20)/G84,(Y20-S21)/G84)</f>
        <v>#VALUE!</v>
      </c>
      <c r="I85" s="25" t="e">
        <f t="shared" si="9"/>
        <v>#VALUE!</v>
      </c>
      <c r="J85" s="78"/>
      <c r="K85" s="25" t="e">
        <f t="shared" si="10"/>
        <v>#VALUE!</v>
      </c>
      <c r="L85" s="25" t="e">
        <f t="shared" si="11"/>
        <v>#VALUE!</v>
      </c>
      <c r="M85" s="25" t="e">
        <f t="shared" si="12"/>
        <v>#VALUE!</v>
      </c>
      <c r="N85" s="55" t="e">
        <f t="shared" si="13"/>
        <v>#VALUE!</v>
      </c>
      <c r="O85" s="70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</row>
    <row r="86" spans="1:261" s="1" customFormat="1" ht="21" hidden="1" x14ac:dyDescent="0.35">
      <c r="A86"/>
      <c r="B86" s="43"/>
      <c r="E86" s="74" t="str">
        <f>Q22</f>
        <v>F</v>
      </c>
      <c r="F86" s="75">
        <f>IF(V22=$E$134,$E$148,IF(V22=$F$134,$F$148,IF(V22=$G$134,$G$148,IF(V22=$H$134,$H$148,IF(V22=$I$134,$I$148,IF(V22=$I$134,$I$148,IF(V22=$I$134,$I$148,IF(V22=$I$134,$I$148,IF(V22=$J$134,$J$148,IF(V22=$K$134,$K$148,IF(V22=$L$134,$L$148,IF(V22=$M$134,$M$148,IF(V22=$N$134,$N$148,IF(V22=$O$134,$O$148,IF(V22=$P$134,$P$148,IF(V22=$Q$134,$Q$148,IF(V22=$R$134,$R$148,IF(V22=$S$134,$S$148,$T$148))))))))))))))))))</f>
        <v>29.03</v>
      </c>
      <c r="G86" s="77" t="e">
        <f>SQRT(Z22^2+U22^2)</f>
        <v>#VALUE!</v>
      </c>
      <c r="H86" s="25" t="e">
        <f>IF(R22="U",(S22-Y22)/G86,(Y22-S22)/G86)</f>
        <v>#VALUE!</v>
      </c>
      <c r="I86" s="25" t="e">
        <f t="shared" si="9"/>
        <v>#VALUE!</v>
      </c>
      <c r="J86" s="78"/>
      <c r="K86" s="25" t="e">
        <f t="shared" si="10"/>
        <v>#VALUE!</v>
      </c>
      <c r="L86" s="25" t="e">
        <f t="shared" si="11"/>
        <v>#VALUE!</v>
      </c>
      <c r="M86" s="25" t="e">
        <f t="shared" si="12"/>
        <v>#VALUE!</v>
      </c>
      <c r="N86" s="55" t="e">
        <f t="shared" si="13"/>
        <v>#VALUE!</v>
      </c>
      <c r="O86" s="70" t="e">
        <f>N86+N87</f>
        <v>#VALUE!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</row>
    <row r="87" spans="1:261" s="1" customFormat="1" ht="21" hidden="1" x14ac:dyDescent="0.35">
      <c r="A87"/>
      <c r="B87" s="43"/>
      <c r="E87" s="74"/>
      <c r="F87" s="76"/>
      <c r="G87" s="77"/>
      <c r="H87" s="25" t="e">
        <f>IF(R23="U",(S23-Y22)/G86,(Y22-S23)/G86)</f>
        <v>#VALUE!</v>
      </c>
      <c r="I87" s="25" t="e">
        <f t="shared" si="9"/>
        <v>#VALUE!</v>
      </c>
      <c r="J87" s="78"/>
      <c r="K87" s="25" t="e">
        <f t="shared" si="10"/>
        <v>#VALUE!</v>
      </c>
      <c r="L87" s="25" t="e">
        <f t="shared" si="11"/>
        <v>#VALUE!</v>
      </c>
      <c r="M87" s="25" t="e">
        <f t="shared" si="12"/>
        <v>#VALUE!</v>
      </c>
      <c r="N87" s="55" t="e">
        <f t="shared" si="13"/>
        <v>#VALUE!</v>
      </c>
      <c r="O87" s="70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</row>
    <row r="88" spans="1:261" s="1" customFormat="1" ht="21" hidden="1" x14ac:dyDescent="0.35">
      <c r="A88"/>
      <c r="B88" s="43"/>
      <c r="E88" s="74" t="str">
        <f>Q24</f>
        <v>G</v>
      </c>
      <c r="F88" s="75">
        <f>IF(V24=$E$134,$E$148,IF(V24=$F$134,$F$148,IF(V24=$G$134,$G$148,IF(V24=$H$134,$H$148,IF(V24=$I$134,$I$148,IF(V24=$I$134,$I$148,IF(V24=$I$134,$I$148,IF(V24=$I$134,$I$148,IF(V24=$J$134,$J$148,IF(V24=$K$134,$K$148,IF(V24=$L$134,$L$148,IF(V24=$M$134,$M$148,IF(V24=$N$134,$N$148,IF(V24=$O$134,$O$148,IF(V24=$P$134,$P$148,IF(V24=$Q$134,$Q$148,IF(V24=$R$134,$R$148,IF(V24=$S$134,$S$148,$T$148))))))))))))))))))</f>
        <v>29.03</v>
      </c>
      <c r="G88" s="77" t="e">
        <f>SQRT(Z24^2+U24^2)</f>
        <v>#VALUE!</v>
      </c>
      <c r="H88" s="25" t="e">
        <f>IF(R24="U",(S24-Y24)/G88,(Y24-S24)/G88)</f>
        <v>#VALUE!</v>
      </c>
      <c r="I88" s="25" t="e">
        <f t="shared" si="9"/>
        <v>#VALUE!</v>
      </c>
      <c r="J88" s="78"/>
      <c r="K88" s="25" t="e">
        <f t="shared" si="10"/>
        <v>#VALUE!</v>
      </c>
      <c r="L88" s="25" t="e">
        <f t="shared" si="11"/>
        <v>#VALUE!</v>
      </c>
      <c r="M88" s="25" t="e">
        <f t="shared" si="12"/>
        <v>#VALUE!</v>
      </c>
      <c r="N88" s="55" t="e">
        <f t="shared" si="13"/>
        <v>#VALUE!</v>
      </c>
      <c r="O88" s="70" t="e">
        <f>N88+N89</f>
        <v>#VALUE!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</row>
    <row r="89" spans="1:261" s="1" customFormat="1" ht="21" hidden="1" x14ac:dyDescent="0.35">
      <c r="A89"/>
      <c r="B89" s="43"/>
      <c r="E89" s="74"/>
      <c r="F89" s="76"/>
      <c r="G89" s="77"/>
      <c r="H89" s="25" t="e">
        <f>IF(R25="U",(S25-Y24)/G88,(Y24-S25)/G88)</f>
        <v>#VALUE!</v>
      </c>
      <c r="I89" s="25" t="e">
        <f t="shared" si="9"/>
        <v>#VALUE!</v>
      </c>
      <c r="J89" s="78"/>
      <c r="K89" s="25" t="e">
        <f t="shared" si="10"/>
        <v>#VALUE!</v>
      </c>
      <c r="L89" s="25" t="e">
        <f t="shared" si="11"/>
        <v>#VALUE!</v>
      </c>
      <c r="M89" s="25" t="e">
        <f t="shared" si="12"/>
        <v>#VALUE!</v>
      </c>
      <c r="N89" s="55" t="e">
        <f t="shared" si="13"/>
        <v>#VALUE!</v>
      </c>
      <c r="O89" s="70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</row>
    <row r="90" spans="1:261" s="1" customFormat="1" ht="21" hidden="1" x14ac:dyDescent="0.35">
      <c r="A90"/>
      <c r="B90" s="43"/>
      <c r="E90" s="74" t="str">
        <f>Q26</f>
        <v>H</v>
      </c>
      <c r="F90" s="75">
        <f>IF(V26=$E$134,$E$148,IF(V26=$F$134,$F$148,IF(V26=$G$134,$G$148,IF(V26=$H$134,$H$148,IF(V26=$I$134,$I$148,IF(V26=$I$134,$I$148,IF(V26=$I$134,$I$148,IF(V26=$I$134,$I$148,IF(V26=$J$134,$J$148,IF(V26=$K$134,$K$148,IF(V26=$L$134,$L$148,IF(V26=$M$134,$M$148,IF(V26=$N$134,$N$148,IF(V26=$O$134,$O$148,IF(V26=$P$134,$P$148,IF(V26=$Q$134,$Q$148,IF(V26=$R$134,$R$148,IF(V26=$S$134,$S$148,$T$148))))))))))))))))))</f>
        <v>29.03</v>
      </c>
      <c r="G90" s="77" t="e">
        <f>SQRT(Z26^2+U26^2)</f>
        <v>#VALUE!</v>
      </c>
      <c r="H90" s="25" t="e">
        <f>IF(R26="U",(S26-Y26)/G90,(Y26-S26)/G90)</f>
        <v>#VALUE!</v>
      </c>
      <c r="I90" s="25" t="e">
        <f t="shared" si="9"/>
        <v>#VALUE!</v>
      </c>
      <c r="J90" s="78"/>
      <c r="K90" s="25" t="e">
        <f t="shared" si="10"/>
        <v>#VALUE!</v>
      </c>
      <c r="L90" s="25" t="e">
        <f t="shared" si="11"/>
        <v>#VALUE!</v>
      </c>
      <c r="M90" s="25" t="e">
        <f t="shared" si="12"/>
        <v>#VALUE!</v>
      </c>
      <c r="N90" s="55" t="e">
        <f t="shared" si="13"/>
        <v>#VALUE!</v>
      </c>
      <c r="O90" s="70" t="e">
        <f>N90+N91</f>
        <v>#VALUE!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</row>
    <row r="91" spans="1:261" s="1" customFormat="1" ht="21" hidden="1" x14ac:dyDescent="0.35">
      <c r="A91"/>
      <c r="B91" s="43"/>
      <c r="E91" s="74"/>
      <c r="F91" s="76"/>
      <c r="G91" s="77"/>
      <c r="H91" s="25" t="e">
        <f>IF(R27="U",(S27-Y26)/G90,(Y26-S27)/G90)</f>
        <v>#VALUE!</v>
      </c>
      <c r="I91" s="25" t="e">
        <f t="shared" si="9"/>
        <v>#VALUE!</v>
      </c>
      <c r="J91" s="78"/>
      <c r="K91" s="25" t="e">
        <f t="shared" si="10"/>
        <v>#VALUE!</v>
      </c>
      <c r="L91" s="25" t="e">
        <f t="shared" si="11"/>
        <v>#VALUE!</v>
      </c>
      <c r="M91" s="25" t="e">
        <f t="shared" si="12"/>
        <v>#VALUE!</v>
      </c>
      <c r="N91" s="55" t="e">
        <f t="shared" si="13"/>
        <v>#VALUE!</v>
      </c>
      <c r="O91" s="70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</row>
    <row r="92" spans="1:261" s="1" customFormat="1" ht="21" hidden="1" x14ac:dyDescent="0.35">
      <c r="A92"/>
      <c r="B92" s="43"/>
      <c r="E92" s="74" t="str">
        <f>Q28</f>
        <v>I</v>
      </c>
      <c r="F92" s="75">
        <f>IF(V28=$E$134,$E$148,IF(V28=$F$134,$F$148,IF(V28=$G$134,$G$148,IF(V28=$H$134,$H$148,IF(V28=$I$134,$I$148,IF(V28=$I$134,$I$148,IF(V28=$I$134,$I$148,IF(V28=$I$134,$I$148,IF(V28=$J$134,$J$148,IF(V28=$K$134,$K$148,IF(V28=$L$134,$L$148,IF(V28=$M$134,$M$148,IF(V28=$N$134,$N$148,IF(V28=$O$134,$O$148,IF(V28=$P$134,$P$148,IF(V28=$Q$134,$Q$148,IF(V28=$R$134,$R$148,IF(V28=$S$134,$S$148,$T$148))))))))))))))))))</f>
        <v>29.03</v>
      </c>
      <c r="G92" s="77" t="e">
        <f>SQRT(Z28^2+U28^2)</f>
        <v>#VALUE!</v>
      </c>
      <c r="H92" s="25" t="e">
        <f>IF(R28="U",(S28-Y28)/G92,(Y28-S28)/G92)</f>
        <v>#VALUE!</v>
      </c>
      <c r="I92" s="25" t="e">
        <f t="shared" si="9"/>
        <v>#VALUE!</v>
      </c>
      <c r="J92" s="78"/>
      <c r="K92" s="25" t="e">
        <f t="shared" si="10"/>
        <v>#VALUE!</v>
      </c>
      <c r="L92" s="25" t="e">
        <f t="shared" si="11"/>
        <v>#VALUE!</v>
      </c>
      <c r="M92" s="25" t="e">
        <f t="shared" si="12"/>
        <v>#VALUE!</v>
      </c>
      <c r="N92" s="55" t="e">
        <f t="shared" si="13"/>
        <v>#VALUE!</v>
      </c>
      <c r="O92" s="70" t="e">
        <f>N92+N93</f>
        <v>#VALUE!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</row>
    <row r="93" spans="1:261" s="1" customFormat="1" ht="21" hidden="1" x14ac:dyDescent="0.35">
      <c r="A93"/>
      <c r="B93" s="43"/>
      <c r="E93" s="74"/>
      <c r="F93" s="76"/>
      <c r="G93" s="77"/>
      <c r="H93" s="25" t="e">
        <f>IF(R29="U",(S29-Y28)/G92,(Y28-S29)/G92)</f>
        <v>#VALUE!</v>
      </c>
      <c r="I93" s="25" t="e">
        <f t="shared" si="9"/>
        <v>#VALUE!</v>
      </c>
      <c r="J93" s="78"/>
      <c r="K93" s="25" t="e">
        <f t="shared" si="10"/>
        <v>#VALUE!</v>
      </c>
      <c r="L93" s="25" t="e">
        <f t="shared" si="11"/>
        <v>#VALUE!</v>
      </c>
      <c r="M93" s="25" t="e">
        <f t="shared" si="12"/>
        <v>#VALUE!</v>
      </c>
      <c r="N93" s="55" t="e">
        <f t="shared" si="13"/>
        <v>#VALUE!</v>
      </c>
      <c r="O93" s="70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</row>
    <row r="94" spans="1:261" s="1" customFormat="1" ht="21" hidden="1" x14ac:dyDescent="0.35">
      <c r="A94"/>
      <c r="B94" s="43"/>
      <c r="E94" s="18" t="str">
        <f>Q30</f>
        <v>D</v>
      </c>
      <c r="F94" s="57">
        <f>IF(V30=$E$134,$E$148,IF(V30=$F$134,$F$148,IF(V30=$G$134,$G$148,IF(V30=$H$134,$H$148,IF(V30=$I$134,$I$148,IF(V30=$I$134,$I$148,IF(V30=$I$134,$I$148,IF(V30=$I$134,$I$148,IF(V30=$J$134,$J$148,IF(V30=$K$134,$K$148,IF(V30=$L$134,$L$148,IF(V30=$M$134,$M$148,IF(V30=$N$134,$N$148,IF(V30=$O$134,$O$148,IF(V30=$P$134,$P$148,IF(V30=$Q$134,$Q$148,IF(V30=$R$134,$R$148,IF(V30=$S$134,$S$148,$T$148))))))))))))))))))</f>
        <v>0.40210000000000001</v>
      </c>
      <c r="G94" s="58">
        <f ca="1">SQRT(Z30^2+U30^2)</f>
        <v>4.0733042652062179E-3</v>
      </c>
      <c r="H94" s="25">
        <f ca="1">IF(R30="U",(S30-Y30)/G94,(Y30-S30)/G94)</f>
        <v>48.651679456444107</v>
      </c>
      <c r="I94" s="25">
        <f t="shared" ca="1" si="9"/>
        <v>-11.417178979773489</v>
      </c>
      <c r="J94" s="78"/>
      <c r="K94" s="25">
        <f t="shared" ca="1" si="10"/>
        <v>-8</v>
      </c>
      <c r="L94" s="25">
        <f t="shared" ca="1" si="11"/>
        <v>61</v>
      </c>
      <c r="M94" s="25">
        <f t="shared" ca="1" si="12"/>
        <v>-3.9669421487603307</v>
      </c>
      <c r="N94" s="55">
        <f t="shared" ca="1" si="13"/>
        <v>3.6400327198895288E-5</v>
      </c>
      <c r="O94" s="55">
        <f ca="1">N94</f>
        <v>3.6400327198895288E-5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</row>
    <row r="95" spans="1:261" s="1" customFormat="1" ht="21" hidden="1" x14ac:dyDescent="0.35">
      <c r="A95"/>
      <c r="B95" s="43"/>
      <c r="E95" s="18" t="str">
        <f t="shared" ref="E95:E102" si="14">Q31</f>
        <v>E</v>
      </c>
      <c r="F95" s="57">
        <f t="shared" ref="F95:F102" si="15">IF(V31=$E$134,$E$148,IF(V31=$F$134,$F$148,IF(V31=$G$134,$G$148,IF(V31=$H$134,$H$148,IF(V31=$I$134,$I$148,IF(V31=$I$134,$I$148,IF(V31=$I$134,$I$148,IF(V31=$I$134,$I$148,IF(V31=$J$134,$J$148,IF(V31=$K$134,$K$148,IF(V31=$L$134,$L$148,IF(V31=$M$134,$M$148,IF(V31=$N$134,$N$148,IF(V31=$O$134,$O$148,IF(V31=$P$134,$P$148,IF(V31=$Q$134,$Q$148,IF(V31=$R$134,$R$148,IF(V31=$S$134,$S$148,$T$148))))))))))))))))))</f>
        <v>29.03</v>
      </c>
      <c r="G95" s="58">
        <f t="shared" ref="G95:G102" ca="1" si="16">SQRT(Z31^2+U31^2)</f>
        <v>2.4689083389063415E-3</v>
      </c>
      <c r="H95" s="25">
        <f t="shared" ref="H95:H102" ca="1" si="17">IF(R31="U",(S31-Y31)/G95,(Y31-S31)/G95)</f>
        <v>272.19108241877746</v>
      </c>
      <c r="I95" s="25">
        <f t="shared" ref="I95:I102" ca="1" si="18">(1-H95*SQRT(W$12)/(W$12-1))*0.5</f>
        <v>-66.172926446184604</v>
      </c>
      <c r="J95" s="78"/>
      <c r="K95" s="25">
        <f t="shared" ref="K95:K102" ca="1" si="19">IF(I95&lt;0,-8,J$76*LN(I95/(1-I95)))</f>
        <v>-8</v>
      </c>
      <c r="L95" s="25">
        <f t="shared" ref="L95:L102" ca="1" si="20">K95^2-3</f>
        <v>61</v>
      </c>
      <c r="M95" s="25">
        <f t="shared" ref="M95:M102" ca="1" si="21">IF(L95&gt;0,(12*(W$12-1)*K95)/(12*(W$12-1)+L95),(12*(W$12-2)*K95)/(12*(W$12-2)+L95))</f>
        <v>-3.9669421487603307</v>
      </c>
      <c r="N95" s="56">
        <f t="shared" ref="N95:N102" ca="1" si="22">NORMSDIST(M95)</f>
        <v>3.6400327198895288E-5</v>
      </c>
      <c r="O95" s="56">
        <f t="shared" ref="O95:O102" ca="1" si="23">N95</f>
        <v>3.6400327198895288E-5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</row>
    <row r="96" spans="1:261" s="1" customFormat="1" ht="21" hidden="1" x14ac:dyDescent="0.35">
      <c r="A96"/>
      <c r="B96" s="43"/>
      <c r="E96" s="18" t="str">
        <f t="shared" si="14"/>
        <v>F</v>
      </c>
      <c r="F96" s="57">
        <f t="shared" si="15"/>
        <v>9.2460000000000004</v>
      </c>
      <c r="G96" s="58">
        <f t="shared" ca="1" si="16"/>
        <v>3.6293676423432356E-3</v>
      </c>
      <c r="H96" s="25">
        <f t="shared" ca="1" si="17"/>
        <v>1.5024992186212003</v>
      </c>
      <c r="I96" s="25">
        <f t="shared" ca="1" si="18"/>
        <v>0.13196435754476304</v>
      </c>
      <c r="J96" s="78"/>
      <c r="K96" s="25">
        <f ca="1">IF(I96&lt;0,-8,J$76*LN(I96/(1-I96)))</f>
        <v>-1.6585911155966115</v>
      </c>
      <c r="L96" s="25">
        <f t="shared" ca="1" si="20"/>
        <v>-0.24907551126398753</v>
      </c>
      <c r="M96" s="25">
        <f t="shared" ca="1" si="21"/>
        <v>-1.6672425591973021</v>
      </c>
      <c r="N96" s="56">
        <f t="shared" ca="1" si="22"/>
        <v>4.7733091619162414E-2</v>
      </c>
      <c r="O96" s="56">
        <f t="shared" ca="1" si="23"/>
        <v>4.7733091619162414E-2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</row>
    <row r="97" spans="1:261" s="1" customFormat="1" ht="21" hidden="1" x14ac:dyDescent="0.35">
      <c r="A97"/>
      <c r="B97" s="43"/>
      <c r="E97" s="18">
        <f t="shared" si="14"/>
        <v>0</v>
      </c>
      <c r="F97" s="57">
        <f>IF(V33=$E$134,$E$148,IF(V33=$F$134,$F$148,IF(V33=$G$134,$G$148,IF(V33=$H$134,$H$148,IF(V33=$I$134,$I$148,IF(V33=$I$134,$I$148,IF(V33=$I$134,$I$148,IF(V33=$I$134,$I$148,IF(V33=$J$134,$J$148,IF(V33=$K$134,$K$148,IF(V33=$L$134,$L$148,IF(V33=$M$134,$M$148,IF(V33=$N$134,$N$148,IF(V33=$O$134,$O$148,IF(V33=$P$134,$P$148,IF(V33=$Q$134,$Q$148,IF(V33=$R$134,$R$148,IF(V33=$S$134,$S$148,$T$148))))))))))))))))))</f>
        <v>29.03</v>
      </c>
      <c r="G97" s="58" t="e">
        <f t="shared" si="16"/>
        <v>#VALUE!</v>
      </c>
      <c r="H97" s="25" t="e">
        <f t="shared" si="17"/>
        <v>#VALUE!</v>
      </c>
      <c r="I97" s="25" t="e">
        <f t="shared" si="18"/>
        <v>#VALUE!</v>
      </c>
      <c r="J97" s="78"/>
      <c r="K97" s="25" t="e">
        <f t="shared" si="19"/>
        <v>#VALUE!</v>
      </c>
      <c r="L97" s="25" t="e">
        <f t="shared" si="20"/>
        <v>#VALUE!</v>
      </c>
      <c r="M97" s="25" t="e">
        <f t="shared" si="21"/>
        <v>#VALUE!</v>
      </c>
      <c r="N97" s="56" t="e">
        <f t="shared" si="22"/>
        <v>#VALUE!</v>
      </c>
      <c r="O97" s="56" t="e">
        <f t="shared" si="23"/>
        <v>#VALUE!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</row>
    <row r="98" spans="1:261" s="1" customFormat="1" ht="21" hidden="1" x14ac:dyDescent="0.35">
      <c r="A98"/>
      <c r="B98" s="43"/>
      <c r="E98" s="18">
        <f t="shared" si="14"/>
        <v>0</v>
      </c>
      <c r="F98" s="57">
        <f t="shared" si="15"/>
        <v>29.03</v>
      </c>
      <c r="G98" s="58" t="e">
        <f t="shared" si="16"/>
        <v>#VALUE!</v>
      </c>
      <c r="H98" s="25" t="e">
        <f t="shared" si="17"/>
        <v>#VALUE!</v>
      </c>
      <c r="I98" s="25" t="e">
        <f t="shared" si="18"/>
        <v>#VALUE!</v>
      </c>
      <c r="J98" s="78"/>
      <c r="K98" s="25" t="e">
        <f t="shared" si="19"/>
        <v>#VALUE!</v>
      </c>
      <c r="L98" s="25" t="e">
        <f t="shared" si="20"/>
        <v>#VALUE!</v>
      </c>
      <c r="M98" s="25" t="e">
        <f t="shared" si="21"/>
        <v>#VALUE!</v>
      </c>
      <c r="N98" s="56" t="e">
        <f t="shared" si="22"/>
        <v>#VALUE!</v>
      </c>
      <c r="O98" s="56" t="e">
        <f t="shared" si="23"/>
        <v>#VALUE!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</row>
    <row r="99" spans="1:261" s="1" customFormat="1" ht="21" hidden="1" x14ac:dyDescent="0.35">
      <c r="A99"/>
      <c r="B99" s="43"/>
      <c r="E99" s="18">
        <f t="shared" si="14"/>
        <v>0</v>
      </c>
      <c r="F99" s="57">
        <f t="shared" si="15"/>
        <v>29.03</v>
      </c>
      <c r="G99" s="58" t="e">
        <f t="shared" si="16"/>
        <v>#VALUE!</v>
      </c>
      <c r="H99" s="25" t="e">
        <f t="shared" si="17"/>
        <v>#VALUE!</v>
      </c>
      <c r="I99" s="25" t="e">
        <f t="shared" si="18"/>
        <v>#VALUE!</v>
      </c>
      <c r="J99" s="78"/>
      <c r="K99" s="25" t="e">
        <f t="shared" si="19"/>
        <v>#VALUE!</v>
      </c>
      <c r="L99" s="25" t="e">
        <f t="shared" si="20"/>
        <v>#VALUE!</v>
      </c>
      <c r="M99" s="25" t="e">
        <f t="shared" si="21"/>
        <v>#VALUE!</v>
      </c>
      <c r="N99" s="56" t="e">
        <f t="shared" si="22"/>
        <v>#VALUE!</v>
      </c>
      <c r="O99" s="56" t="e">
        <f t="shared" si="23"/>
        <v>#VALUE!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</row>
    <row r="100" spans="1:261" s="1" customFormat="1" ht="21" hidden="1" x14ac:dyDescent="0.35">
      <c r="A100"/>
      <c r="B100" s="43"/>
      <c r="E100" s="18">
        <f t="shared" si="14"/>
        <v>0</v>
      </c>
      <c r="F100" s="57">
        <f t="shared" si="15"/>
        <v>29.03</v>
      </c>
      <c r="G100" s="58" t="e">
        <f t="shared" si="16"/>
        <v>#VALUE!</v>
      </c>
      <c r="H100" s="25" t="e">
        <f t="shared" si="17"/>
        <v>#VALUE!</v>
      </c>
      <c r="I100" s="25" t="e">
        <f t="shared" si="18"/>
        <v>#VALUE!</v>
      </c>
      <c r="J100" s="78"/>
      <c r="K100" s="25" t="e">
        <f t="shared" si="19"/>
        <v>#VALUE!</v>
      </c>
      <c r="L100" s="25" t="e">
        <f t="shared" si="20"/>
        <v>#VALUE!</v>
      </c>
      <c r="M100" s="25" t="e">
        <f t="shared" si="21"/>
        <v>#VALUE!</v>
      </c>
      <c r="N100" s="56" t="e">
        <f t="shared" si="22"/>
        <v>#VALUE!</v>
      </c>
      <c r="O100" s="56" t="e">
        <f t="shared" si="23"/>
        <v>#VALUE!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</row>
    <row r="101" spans="1:261" s="1" customFormat="1" ht="21" hidden="1" x14ac:dyDescent="0.35">
      <c r="A101"/>
      <c r="B101" s="43"/>
      <c r="E101" s="18">
        <f t="shared" si="14"/>
        <v>0</v>
      </c>
      <c r="F101" s="57">
        <f t="shared" si="15"/>
        <v>29.03</v>
      </c>
      <c r="G101" s="58" t="e">
        <f t="shared" si="16"/>
        <v>#VALUE!</v>
      </c>
      <c r="H101" s="25" t="e">
        <f t="shared" si="17"/>
        <v>#VALUE!</v>
      </c>
      <c r="I101" s="25" t="e">
        <f t="shared" si="18"/>
        <v>#VALUE!</v>
      </c>
      <c r="J101" s="78"/>
      <c r="K101" s="25" t="e">
        <f t="shared" si="19"/>
        <v>#VALUE!</v>
      </c>
      <c r="L101" s="25" t="e">
        <f t="shared" si="20"/>
        <v>#VALUE!</v>
      </c>
      <c r="M101" s="25" t="e">
        <f t="shared" si="21"/>
        <v>#VALUE!</v>
      </c>
      <c r="N101" s="56" t="e">
        <f t="shared" si="22"/>
        <v>#VALUE!</v>
      </c>
      <c r="O101" s="56" t="e">
        <f t="shared" si="23"/>
        <v>#VALUE!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</row>
    <row r="102" spans="1:261" s="1" customFormat="1" ht="21" hidden="1" x14ac:dyDescent="0.35">
      <c r="A102"/>
      <c r="B102" s="43"/>
      <c r="E102" s="18">
        <f t="shared" si="14"/>
        <v>0</v>
      </c>
      <c r="F102" s="57">
        <f t="shared" si="15"/>
        <v>29.03</v>
      </c>
      <c r="G102" s="58" t="e">
        <f t="shared" si="16"/>
        <v>#VALUE!</v>
      </c>
      <c r="H102" s="25" t="e">
        <f t="shared" si="17"/>
        <v>#VALUE!</v>
      </c>
      <c r="I102" s="25" t="e">
        <f t="shared" si="18"/>
        <v>#VALUE!</v>
      </c>
      <c r="J102" s="78"/>
      <c r="K102" s="25" t="e">
        <f t="shared" si="19"/>
        <v>#VALUE!</v>
      </c>
      <c r="L102" s="25" t="e">
        <f t="shared" si="20"/>
        <v>#VALUE!</v>
      </c>
      <c r="M102" s="25" t="e">
        <f t="shared" si="21"/>
        <v>#VALUE!</v>
      </c>
      <c r="N102" s="56" t="e">
        <f t="shared" si="22"/>
        <v>#VALUE!</v>
      </c>
      <c r="O102" s="56" t="e">
        <f t="shared" si="23"/>
        <v>#VALUE!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</row>
    <row r="103" spans="1:261" s="1" customFormat="1" ht="21" hidden="1" x14ac:dyDescent="0.35">
      <c r="A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</row>
    <row r="104" spans="1:261" s="1" customFormat="1" ht="21" hidden="1" x14ac:dyDescent="0.35">
      <c r="A104"/>
      <c r="C104" s="71" t="s">
        <v>7</v>
      </c>
      <c r="D104" s="59" t="s">
        <v>55</v>
      </c>
      <c r="E104" s="59">
        <v>0.01</v>
      </c>
      <c r="F104" s="59">
        <v>1.4999999999999999E-2</v>
      </c>
      <c r="G104" s="59">
        <v>2.5000000000000001E-2</v>
      </c>
      <c r="H104" s="59">
        <v>0.04</v>
      </c>
      <c r="I104" s="59">
        <v>6.5000000000000002E-2</v>
      </c>
      <c r="J104" s="59">
        <v>0.1</v>
      </c>
      <c r="K104" s="59">
        <v>0.15</v>
      </c>
      <c r="L104" s="59">
        <v>0.25</v>
      </c>
      <c r="M104" s="59">
        <v>0.4</v>
      </c>
      <c r="N104" s="59">
        <v>0.65</v>
      </c>
      <c r="O104" s="59">
        <v>1</v>
      </c>
      <c r="P104" s="59">
        <v>1.5</v>
      </c>
      <c r="Q104" s="59">
        <v>2.5</v>
      </c>
      <c r="R104" s="59">
        <v>4</v>
      </c>
      <c r="S104" s="59">
        <v>6.5</v>
      </c>
      <c r="T104" s="59">
        <v>10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</row>
    <row r="105" spans="1:261" s="1" customFormat="1" ht="21" hidden="1" x14ac:dyDescent="0.35">
      <c r="A105"/>
      <c r="C105" s="72"/>
      <c r="D105" s="59">
        <v>6</v>
      </c>
      <c r="E105" s="60">
        <f t="shared" ref="E105:E115" si="24">E$116</f>
        <v>3.9980000000000002E-2</v>
      </c>
      <c r="F105" s="60">
        <f t="shared" ref="F105:F114" si="25">F$115</f>
        <v>6.2649999999999997E-2</v>
      </c>
      <c r="G105" s="60">
        <f t="shared" ref="G105:G113" si="26">G$114</f>
        <v>0.10009999999999999</v>
      </c>
      <c r="H105" s="60">
        <f t="shared" ref="H105:H112" si="27">H$113</f>
        <v>0.1593</v>
      </c>
      <c r="I105" s="60">
        <f t="shared" ref="I105:I111" si="28">I$112</f>
        <v>0.25109999999999999</v>
      </c>
      <c r="J105" s="60">
        <f t="shared" ref="J105:J110" si="29">J$111</f>
        <v>0.40210000000000001</v>
      </c>
      <c r="K105" s="60">
        <f>K$110</f>
        <v>0.62990000000000002</v>
      </c>
      <c r="L105" s="60">
        <f>L$109</f>
        <v>1.012</v>
      </c>
      <c r="M105" s="60">
        <f>M$108</f>
        <v>1.62</v>
      </c>
      <c r="N105" s="60">
        <f>N$107</f>
        <v>2.5779999999999998</v>
      </c>
      <c r="O105" s="60">
        <f>O$106</f>
        <v>4.1959999999999997</v>
      </c>
      <c r="P105" s="61">
        <v>6.7240000000000002</v>
      </c>
      <c r="Q105" s="62">
        <v>9.2460000000000004</v>
      </c>
      <c r="R105" s="62">
        <v>13.29</v>
      </c>
      <c r="S105" s="62">
        <v>19.02</v>
      </c>
      <c r="T105" s="62">
        <v>29.03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</row>
    <row r="106" spans="1:261" s="1" customFormat="1" ht="21" hidden="1" x14ac:dyDescent="0.35">
      <c r="A106"/>
      <c r="C106" s="72"/>
      <c r="D106" s="59">
        <v>9</v>
      </c>
      <c r="E106" s="60">
        <f t="shared" si="24"/>
        <v>3.9980000000000002E-2</v>
      </c>
      <c r="F106" s="60">
        <f t="shared" si="25"/>
        <v>6.2649999999999997E-2</v>
      </c>
      <c r="G106" s="60">
        <f t="shared" si="26"/>
        <v>0.10009999999999999</v>
      </c>
      <c r="H106" s="60">
        <f t="shared" si="27"/>
        <v>0.1593</v>
      </c>
      <c r="I106" s="60">
        <f t="shared" si="28"/>
        <v>0.25109999999999999</v>
      </c>
      <c r="J106" s="60">
        <f t="shared" si="29"/>
        <v>0.40210000000000001</v>
      </c>
      <c r="K106" s="60">
        <f>K$110</f>
        <v>0.62990000000000002</v>
      </c>
      <c r="L106" s="60">
        <f>L$109</f>
        <v>1.012</v>
      </c>
      <c r="M106" s="60">
        <f>M$108</f>
        <v>1.62</v>
      </c>
      <c r="N106" s="60">
        <f>N$107</f>
        <v>2.5779999999999998</v>
      </c>
      <c r="O106" s="61">
        <v>4.1959999999999997</v>
      </c>
      <c r="P106" s="61">
        <v>5.8330000000000002</v>
      </c>
      <c r="Q106" s="62">
        <v>8.4369999999999994</v>
      </c>
      <c r="R106" s="62">
        <v>12.12</v>
      </c>
      <c r="S106" s="62">
        <v>18.52</v>
      </c>
      <c r="T106" s="62">
        <v>28.13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</row>
    <row r="107" spans="1:261" s="1" customFormat="1" ht="21" hidden="1" x14ac:dyDescent="0.35">
      <c r="A107"/>
      <c r="C107" s="72"/>
      <c r="D107" s="59">
        <v>13</v>
      </c>
      <c r="E107" s="60">
        <f t="shared" si="24"/>
        <v>3.9980000000000002E-2</v>
      </c>
      <c r="F107" s="60">
        <f t="shared" si="25"/>
        <v>6.2649999999999997E-2</v>
      </c>
      <c r="G107" s="60">
        <f t="shared" si="26"/>
        <v>0.10009999999999999</v>
      </c>
      <c r="H107" s="60">
        <f t="shared" si="27"/>
        <v>0.1593</v>
      </c>
      <c r="I107" s="60">
        <f t="shared" si="28"/>
        <v>0.25109999999999999</v>
      </c>
      <c r="J107" s="60">
        <f t="shared" si="29"/>
        <v>0.40210000000000001</v>
      </c>
      <c r="K107" s="60">
        <f>K$110</f>
        <v>0.62990000000000002</v>
      </c>
      <c r="L107" s="60">
        <f>L$109</f>
        <v>1.012</v>
      </c>
      <c r="M107" s="60">
        <f>M$108</f>
        <v>1.62</v>
      </c>
      <c r="N107" s="61">
        <v>2.5779999999999998</v>
      </c>
      <c r="O107" s="61">
        <v>3.605</v>
      </c>
      <c r="P107" s="61">
        <v>5.2450000000000001</v>
      </c>
      <c r="Q107" s="62">
        <v>7.5369999999999999</v>
      </c>
      <c r="R107" s="62">
        <v>11.54</v>
      </c>
      <c r="S107" s="62">
        <v>17.54</v>
      </c>
      <c r="T107" s="62">
        <v>27.31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</row>
    <row r="108" spans="1:261" s="1" customFormat="1" ht="21" hidden="1" x14ac:dyDescent="0.35">
      <c r="A108"/>
      <c r="C108" s="72"/>
      <c r="D108" s="59">
        <v>18</v>
      </c>
      <c r="E108" s="60">
        <f t="shared" si="24"/>
        <v>3.9980000000000002E-2</v>
      </c>
      <c r="F108" s="60">
        <f t="shared" si="25"/>
        <v>6.2649999999999997E-2</v>
      </c>
      <c r="G108" s="60">
        <f t="shared" si="26"/>
        <v>0.10009999999999999</v>
      </c>
      <c r="H108" s="60">
        <f t="shared" si="27"/>
        <v>0.1593</v>
      </c>
      <c r="I108" s="60">
        <f t="shared" si="28"/>
        <v>0.25109999999999999</v>
      </c>
      <c r="J108" s="60">
        <f t="shared" si="29"/>
        <v>0.40210000000000001</v>
      </c>
      <c r="K108" s="60">
        <f>K$110</f>
        <v>0.62990000000000002</v>
      </c>
      <c r="L108" s="60">
        <f>L$109</f>
        <v>1.012</v>
      </c>
      <c r="M108" s="62">
        <v>1.62</v>
      </c>
      <c r="N108" s="61">
        <v>2.2749999999999999</v>
      </c>
      <c r="O108" s="61">
        <v>3.323</v>
      </c>
      <c r="P108" s="61">
        <v>4.782</v>
      </c>
      <c r="Q108" s="62">
        <v>7.3150000000000004</v>
      </c>
      <c r="R108" s="62">
        <v>11.12</v>
      </c>
      <c r="S108" s="62">
        <v>17.329999999999998</v>
      </c>
      <c r="T108" s="62">
        <v>23.84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</row>
    <row r="109" spans="1:261" s="1" customFormat="1" ht="21" hidden="1" x14ac:dyDescent="0.35">
      <c r="A109"/>
      <c r="C109" s="72"/>
      <c r="D109" s="59">
        <v>25</v>
      </c>
      <c r="E109" s="60">
        <f t="shared" si="24"/>
        <v>3.9980000000000002E-2</v>
      </c>
      <c r="F109" s="60">
        <f t="shared" si="25"/>
        <v>6.2649999999999997E-2</v>
      </c>
      <c r="G109" s="60">
        <f t="shared" si="26"/>
        <v>0.10009999999999999</v>
      </c>
      <c r="H109" s="60">
        <f t="shared" si="27"/>
        <v>0.1593</v>
      </c>
      <c r="I109" s="60">
        <f t="shared" si="28"/>
        <v>0.25109999999999999</v>
      </c>
      <c r="J109" s="60">
        <f t="shared" si="29"/>
        <v>0.40210000000000001</v>
      </c>
      <c r="K109" s="60">
        <f>K$110</f>
        <v>0.62990000000000002</v>
      </c>
      <c r="L109" s="62">
        <v>1.012</v>
      </c>
      <c r="M109" s="62">
        <v>1.4279999999999999</v>
      </c>
      <c r="N109" s="62">
        <v>2.0840000000000001</v>
      </c>
      <c r="O109" s="62">
        <v>3.01</v>
      </c>
      <c r="P109" s="62">
        <v>4.6029999999999998</v>
      </c>
      <c r="Q109" s="62">
        <v>7.01</v>
      </c>
      <c r="R109" s="62">
        <v>10.91</v>
      </c>
      <c r="S109" s="62">
        <v>15.03</v>
      </c>
      <c r="T109" s="62">
        <v>21.03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</row>
    <row r="110" spans="1:261" s="1" customFormat="1" ht="21" hidden="1" x14ac:dyDescent="0.35">
      <c r="A110"/>
      <c r="C110" s="72"/>
      <c r="D110" s="59">
        <v>35</v>
      </c>
      <c r="E110" s="60">
        <f t="shared" si="24"/>
        <v>3.9980000000000002E-2</v>
      </c>
      <c r="F110" s="60">
        <f t="shared" si="25"/>
        <v>6.2649999999999997E-2</v>
      </c>
      <c r="G110" s="60">
        <f t="shared" si="26"/>
        <v>0.10009999999999999</v>
      </c>
      <c r="H110" s="60">
        <f t="shared" si="27"/>
        <v>0.1593</v>
      </c>
      <c r="I110" s="60">
        <f t="shared" si="28"/>
        <v>0.25109999999999999</v>
      </c>
      <c r="J110" s="60">
        <f t="shared" si="29"/>
        <v>0.40210000000000001</v>
      </c>
      <c r="K110" s="62">
        <v>0.62990000000000002</v>
      </c>
      <c r="L110" s="62">
        <v>0.89</v>
      </c>
      <c r="M110" s="62">
        <v>1.304</v>
      </c>
      <c r="N110" s="62">
        <v>1.88</v>
      </c>
      <c r="O110" s="62">
        <v>2.88</v>
      </c>
      <c r="P110" s="62">
        <v>4.3789999999999996</v>
      </c>
      <c r="Q110" s="62">
        <v>6.82</v>
      </c>
      <c r="R110" s="62">
        <v>9.375</v>
      </c>
      <c r="S110" s="62">
        <v>13.14</v>
      </c>
      <c r="T110" s="62">
        <v>18.13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</row>
    <row r="111" spans="1:261" s="1" customFormat="1" ht="21" hidden="1" x14ac:dyDescent="0.35">
      <c r="A111"/>
      <c r="C111" s="72"/>
      <c r="D111" s="59">
        <v>50</v>
      </c>
      <c r="E111" s="60">
        <f t="shared" si="24"/>
        <v>3.9980000000000002E-2</v>
      </c>
      <c r="F111" s="60">
        <f t="shared" si="25"/>
        <v>6.2649999999999997E-2</v>
      </c>
      <c r="G111" s="60">
        <f t="shared" si="26"/>
        <v>0.10009999999999999</v>
      </c>
      <c r="H111" s="60">
        <f t="shared" si="27"/>
        <v>0.1593</v>
      </c>
      <c r="I111" s="60">
        <f t="shared" si="28"/>
        <v>0.25109999999999999</v>
      </c>
      <c r="J111" s="61">
        <v>0.40210000000000001</v>
      </c>
      <c r="K111" s="62">
        <v>0.56899999999999995</v>
      </c>
      <c r="L111" s="62">
        <v>0.83350000000000002</v>
      </c>
      <c r="M111" s="62">
        <v>1.2030000000000001</v>
      </c>
      <c r="N111" s="62">
        <v>1.84</v>
      </c>
      <c r="O111" s="62">
        <v>2.8</v>
      </c>
      <c r="P111" s="62">
        <v>4.3639999999999999</v>
      </c>
      <c r="Q111" s="62">
        <v>6.0060000000000002</v>
      </c>
      <c r="R111" s="62">
        <v>8.4060000000000006</v>
      </c>
      <c r="S111" s="62">
        <v>11.59</v>
      </c>
      <c r="T111" s="62">
        <v>17.2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</row>
    <row r="112" spans="1:261" s="1" customFormat="1" ht="21" hidden="1" x14ac:dyDescent="0.35">
      <c r="A112"/>
      <c r="B112"/>
      <c r="C112" s="72"/>
      <c r="D112" s="59">
        <v>70</v>
      </c>
      <c r="E112" s="60">
        <f t="shared" si="24"/>
        <v>3.9980000000000002E-2</v>
      </c>
      <c r="F112" s="60">
        <f t="shared" si="25"/>
        <v>6.2649999999999997E-2</v>
      </c>
      <c r="G112" s="60">
        <f t="shared" si="26"/>
        <v>0.10009999999999999</v>
      </c>
      <c r="H112" s="60">
        <f t="shared" si="27"/>
        <v>0.1593</v>
      </c>
      <c r="I112" s="61">
        <v>0.25109999999999999</v>
      </c>
      <c r="J112" s="61">
        <v>0.3553</v>
      </c>
      <c r="K112" s="62">
        <v>0.52090000000000003</v>
      </c>
      <c r="L112" s="62">
        <v>0.75</v>
      </c>
      <c r="M112" s="62">
        <v>1.1499999999999999</v>
      </c>
      <c r="N112" s="62">
        <v>1.75</v>
      </c>
      <c r="O112" s="62">
        <v>2.7524999999999999</v>
      </c>
      <c r="P112" s="62">
        <v>3.7530000000000001</v>
      </c>
      <c r="Q112" s="62">
        <v>5.2549999999999999</v>
      </c>
      <c r="R112" s="62" t="s">
        <v>56</v>
      </c>
      <c r="S112" s="62">
        <v>10.74</v>
      </c>
      <c r="T112" s="60">
        <f t="shared" ref="T112:T117" si="30">T$111</f>
        <v>17.2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</row>
    <row r="113" spans="1:261" s="1" customFormat="1" ht="21" hidden="1" x14ac:dyDescent="0.35">
      <c r="A113"/>
      <c r="B113"/>
      <c r="C113" s="72"/>
      <c r="D113" s="59">
        <v>95</v>
      </c>
      <c r="E113" s="60">
        <f t="shared" si="24"/>
        <v>3.9980000000000002E-2</v>
      </c>
      <c r="F113" s="60">
        <f t="shared" si="25"/>
        <v>6.2649999999999997E-2</v>
      </c>
      <c r="G113" s="60">
        <f t="shared" si="26"/>
        <v>0.10009999999999999</v>
      </c>
      <c r="H113" s="61">
        <v>0.1593</v>
      </c>
      <c r="I113" s="61">
        <v>0.22539999999999999</v>
      </c>
      <c r="J113" s="62">
        <v>0.33040000000000003</v>
      </c>
      <c r="K113" s="62">
        <v>0.47649999999999998</v>
      </c>
      <c r="L113" s="61">
        <v>0.7298</v>
      </c>
      <c r="M113" s="62">
        <v>1.1100000000000001</v>
      </c>
      <c r="N113" s="62">
        <v>1.732</v>
      </c>
      <c r="O113" s="62">
        <v>2.383</v>
      </c>
      <c r="P113" s="62">
        <v>3.3359999999999999</v>
      </c>
      <c r="Q113" s="62">
        <v>4.6070000000000002</v>
      </c>
      <c r="R113" s="62">
        <v>6.827</v>
      </c>
      <c r="S113" s="60">
        <f>S$112</f>
        <v>10.74</v>
      </c>
      <c r="T113" s="60">
        <f t="shared" si="30"/>
        <v>17.2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</row>
    <row r="114" spans="1:261" s="1" customFormat="1" ht="21" hidden="1" x14ac:dyDescent="0.35">
      <c r="A114"/>
      <c r="B114"/>
      <c r="C114" s="72"/>
      <c r="D114" s="59">
        <v>125</v>
      </c>
      <c r="E114" s="60">
        <f t="shared" si="24"/>
        <v>3.9980000000000002E-2</v>
      </c>
      <c r="F114" s="60">
        <f t="shared" si="25"/>
        <v>6.2649999999999997E-2</v>
      </c>
      <c r="G114" s="61">
        <v>0.10009999999999999</v>
      </c>
      <c r="H114" s="61">
        <v>0.1421</v>
      </c>
      <c r="I114" s="61">
        <v>0.20810000000000001</v>
      </c>
      <c r="J114" s="62">
        <v>0.30049999999999999</v>
      </c>
      <c r="K114" s="62">
        <v>0.4602</v>
      </c>
      <c r="L114" s="62">
        <v>0.7006</v>
      </c>
      <c r="M114" s="62">
        <v>1.0900000000000001</v>
      </c>
      <c r="N114" s="62">
        <v>1.4990000000000001</v>
      </c>
      <c r="O114" s="62">
        <v>2.0979999999999999</v>
      </c>
      <c r="P114" s="62">
        <v>2.8959999999999999</v>
      </c>
      <c r="Q114" s="62">
        <v>4.3010000000000002</v>
      </c>
      <c r="R114" s="60">
        <f>R$113</f>
        <v>6.827</v>
      </c>
      <c r="S114" s="60">
        <f>S$112</f>
        <v>10.74</v>
      </c>
      <c r="T114" s="60">
        <f t="shared" si="30"/>
        <v>17.2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</row>
    <row r="115" spans="1:261" s="1" customFormat="1" ht="21" hidden="1" x14ac:dyDescent="0.35">
      <c r="A115"/>
      <c r="B115"/>
      <c r="C115" s="72"/>
      <c r="D115" s="59">
        <v>160</v>
      </c>
      <c r="E115" s="60">
        <f t="shared" si="24"/>
        <v>3.9980000000000002E-2</v>
      </c>
      <c r="F115" s="62">
        <v>6.2649999999999997E-2</v>
      </c>
      <c r="G115" s="62">
        <v>8.8929999999999995E-2</v>
      </c>
      <c r="H115" s="62">
        <v>0.13020000000000001</v>
      </c>
      <c r="I115" s="62">
        <v>0.18740000000000001</v>
      </c>
      <c r="J115" s="62">
        <v>0.28749999999999998</v>
      </c>
      <c r="K115" s="62">
        <v>0.43809999999999999</v>
      </c>
      <c r="L115" s="62">
        <v>0.68179999999999996</v>
      </c>
      <c r="M115" s="61">
        <v>0.93679999999999997</v>
      </c>
      <c r="N115" s="62">
        <v>1.3109999999999999</v>
      </c>
      <c r="O115" s="62">
        <v>1.8120000000000001</v>
      </c>
      <c r="P115" s="62">
        <v>2.6850000000000001</v>
      </c>
      <c r="Q115" s="60">
        <f>Q$114</f>
        <v>4.3010000000000002</v>
      </c>
      <c r="R115" s="60">
        <f>R$113</f>
        <v>6.827</v>
      </c>
      <c r="S115" s="60">
        <f>S$112</f>
        <v>10.74</v>
      </c>
      <c r="T115" s="60">
        <f t="shared" si="30"/>
        <v>17.2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</row>
    <row r="116" spans="1:261" s="1" customFormat="1" ht="21" hidden="1" x14ac:dyDescent="0.35">
      <c r="A116"/>
      <c r="B116"/>
      <c r="C116" s="72"/>
      <c r="D116" s="59">
        <v>200</v>
      </c>
      <c r="E116" s="61">
        <v>3.9980000000000002E-2</v>
      </c>
      <c r="F116" s="62">
        <v>5.6890000000000003E-2</v>
      </c>
      <c r="G116" s="62">
        <v>5.6890000000000003E-2</v>
      </c>
      <c r="H116" s="62">
        <v>0.1202</v>
      </c>
      <c r="I116" s="62">
        <v>0.1842</v>
      </c>
      <c r="J116" s="62">
        <v>0.28010000000000002</v>
      </c>
      <c r="K116" s="62">
        <v>0.43659999999999999</v>
      </c>
      <c r="L116" s="62">
        <v>0.60070000000000001</v>
      </c>
      <c r="M116" s="62">
        <v>0.8397</v>
      </c>
      <c r="N116" s="62">
        <v>1.161</v>
      </c>
      <c r="O116" s="62">
        <v>1.72</v>
      </c>
      <c r="P116" s="60">
        <f>P$115</f>
        <v>2.6850000000000001</v>
      </c>
      <c r="Q116" s="60">
        <f>Q$114</f>
        <v>4.3010000000000002</v>
      </c>
      <c r="R116" s="60">
        <f>R$113</f>
        <v>6.827</v>
      </c>
      <c r="S116" s="60">
        <f>S$112</f>
        <v>10.74</v>
      </c>
      <c r="T116" s="60">
        <f t="shared" si="30"/>
        <v>17.2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</row>
    <row r="117" spans="1:261" s="1" customFormat="1" ht="21" hidden="1" x14ac:dyDescent="0.35">
      <c r="A117"/>
      <c r="B117"/>
      <c r="C117" s="73"/>
      <c r="D117" s="59">
        <v>250</v>
      </c>
      <c r="E117" s="62">
        <v>3.5529999999999999E-2</v>
      </c>
      <c r="F117" s="62">
        <v>5.2089999999999997E-2</v>
      </c>
      <c r="G117" s="62">
        <v>7.4950000000000003E-2</v>
      </c>
      <c r="H117" s="62">
        <v>0.11509999999999999</v>
      </c>
      <c r="I117" s="62">
        <v>0.17499999999999999</v>
      </c>
      <c r="J117" s="62">
        <v>0.27289999999999998</v>
      </c>
      <c r="K117" s="62">
        <v>0.37530000000000002</v>
      </c>
      <c r="L117" s="62">
        <v>0.52449999999999997</v>
      </c>
      <c r="M117" s="62">
        <v>0.7258</v>
      </c>
      <c r="N117" s="62">
        <v>1.0760000000000001</v>
      </c>
      <c r="O117" s="60">
        <f>O$116</f>
        <v>1.72</v>
      </c>
      <c r="P117" s="60">
        <f>P$115</f>
        <v>2.6850000000000001</v>
      </c>
      <c r="Q117" s="60">
        <f>Q$114</f>
        <v>4.3010000000000002</v>
      </c>
      <c r="R117" s="60">
        <f>R$113</f>
        <v>6.827</v>
      </c>
      <c r="S117" s="60">
        <f>S$112</f>
        <v>10.74</v>
      </c>
      <c r="T117" s="60">
        <f t="shared" si="30"/>
        <v>17.2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</row>
    <row r="118" spans="1:261" s="1" customFormat="1" ht="21" hidden="1" x14ac:dyDescent="0.35">
      <c r="A118"/>
      <c r="B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</row>
    <row r="119" spans="1:261" s="1" customFormat="1" ht="21" hidden="1" x14ac:dyDescent="0.35">
      <c r="A119"/>
      <c r="B119"/>
      <c r="C119" s="71" t="s">
        <v>57</v>
      </c>
      <c r="D119" s="59" t="s">
        <v>55</v>
      </c>
      <c r="E119" s="59">
        <v>0.01</v>
      </c>
      <c r="F119" s="59">
        <v>1.4999999999999999E-2</v>
      </c>
      <c r="G119" s="59">
        <v>2.5000000000000001E-2</v>
      </c>
      <c r="H119" s="59">
        <v>0.04</v>
      </c>
      <c r="I119" s="59">
        <v>6.5000000000000002E-2</v>
      </c>
      <c r="J119" s="59">
        <v>0.1</v>
      </c>
      <c r="K119" s="59">
        <v>0.15</v>
      </c>
      <c r="L119" s="59">
        <v>0.25</v>
      </c>
      <c r="M119" s="59">
        <v>0.4</v>
      </c>
      <c r="N119" s="59">
        <v>0.65</v>
      </c>
      <c r="O119" s="59">
        <v>1</v>
      </c>
      <c r="P119" s="59">
        <v>1.5</v>
      </c>
      <c r="Q119" s="59">
        <v>2.5</v>
      </c>
      <c r="R119" s="59">
        <v>4</v>
      </c>
      <c r="S119" s="59">
        <v>6.5</v>
      </c>
      <c r="T119" s="59">
        <v>10</v>
      </c>
      <c r="U119" s="1" t="s">
        <v>27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</row>
    <row r="120" spans="1:261" s="1" customFormat="1" ht="21" hidden="1" x14ac:dyDescent="0.35">
      <c r="A120"/>
      <c r="B120"/>
      <c r="C120" s="72"/>
      <c r="D120" s="59">
        <f t="shared" ref="D120:D132" si="31">IF($W$12=D105,D105,"")</f>
        <v>6</v>
      </c>
      <c r="E120" s="63">
        <f t="shared" ref="E120:T132" si="32">IF(ISNUMBER($D120),E105,"")</f>
        <v>3.9980000000000002E-2</v>
      </c>
      <c r="F120" s="63">
        <f t="shared" si="32"/>
        <v>6.2649999999999997E-2</v>
      </c>
      <c r="G120" s="63">
        <f t="shared" si="32"/>
        <v>0.10009999999999999</v>
      </c>
      <c r="H120" s="63">
        <f t="shared" si="32"/>
        <v>0.1593</v>
      </c>
      <c r="I120" s="63">
        <f t="shared" si="32"/>
        <v>0.25109999999999999</v>
      </c>
      <c r="J120" s="63">
        <f t="shared" si="32"/>
        <v>0.40210000000000001</v>
      </c>
      <c r="K120" s="63">
        <f t="shared" si="32"/>
        <v>0.62990000000000002</v>
      </c>
      <c r="L120" s="63">
        <f t="shared" si="32"/>
        <v>1.012</v>
      </c>
      <c r="M120" s="63">
        <f t="shared" si="32"/>
        <v>1.62</v>
      </c>
      <c r="N120" s="63">
        <f t="shared" si="32"/>
        <v>2.5779999999999998</v>
      </c>
      <c r="O120" s="63">
        <f t="shared" si="32"/>
        <v>4.1959999999999997</v>
      </c>
      <c r="P120" s="63">
        <f t="shared" si="32"/>
        <v>6.7240000000000002</v>
      </c>
      <c r="Q120" s="63">
        <f t="shared" si="32"/>
        <v>9.2460000000000004</v>
      </c>
      <c r="R120" s="63">
        <f t="shared" si="32"/>
        <v>13.29</v>
      </c>
      <c r="S120" s="63">
        <f t="shared" si="32"/>
        <v>19.02</v>
      </c>
      <c r="T120" s="63">
        <f t="shared" si="32"/>
        <v>29.03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</row>
    <row r="121" spans="1:261" s="1" customFormat="1" ht="21" hidden="1" x14ac:dyDescent="0.35">
      <c r="A121"/>
      <c r="B121"/>
      <c r="C121" s="72"/>
      <c r="D121" s="59" t="str">
        <f t="shared" si="31"/>
        <v/>
      </c>
      <c r="E121" s="63" t="str">
        <f t="shared" si="32"/>
        <v/>
      </c>
      <c r="F121" s="63" t="str">
        <f t="shared" si="32"/>
        <v/>
      </c>
      <c r="G121" s="63" t="str">
        <f t="shared" si="32"/>
        <v/>
      </c>
      <c r="H121" s="63" t="str">
        <f t="shared" si="32"/>
        <v/>
      </c>
      <c r="I121" s="63" t="str">
        <f t="shared" si="32"/>
        <v/>
      </c>
      <c r="J121" s="63" t="str">
        <f t="shared" si="32"/>
        <v/>
      </c>
      <c r="K121" s="63" t="str">
        <f t="shared" si="32"/>
        <v/>
      </c>
      <c r="L121" s="63" t="str">
        <f t="shared" si="32"/>
        <v/>
      </c>
      <c r="M121" s="63" t="str">
        <f t="shared" si="32"/>
        <v/>
      </c>
      <c r="N121" s="63" t="str">
        <f t="shared" si="32"/>
        <v/>
      </c>
      <c r="O121" s="63" t="str">
        <f t="shared" si="32"/>
        <v/>
      </c>
      <c r="P121" s="63" t="str">
        <f t="shared" si="32"/>
        <v/>
      </c>
      <c r="Q121" s="63" t="str">
        <f t="shared" si="32"/>
        <v/>
      </c>
      <c r="R121" s="63" t="str">
        <f t="shared" si="32"/>
        <v/>
      </c>
      <c r="S121" s="63" t="str">
        <f t="shared" si="32"/>
        <v/>
      </c>
      <c r="T121" s="63" t="str">
        <f t="shared" si="32"/>
        <v/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</row>
    <row r="122" spans="1:261" s="1" customFormat="1" ht="21" hidden="1" x14ac:dyDescent="0.35">
      <c r="A122"/>
      <c r="B122"/>
      <c r="C122" s="72"/>
      <c r="D122" s="59" t="str">
        <f t="shared" si="31"/>
        <v/>
      </c>
      <c r="E122" s="63" t="str">
        <f t="shared" si="32"/>
        <v/>
      </c>
      <c r="F122" s="63" t="str">
        <f t="shared" si="32"/>
        <v/>
      </c>
      <c r="G122" s="63" t="str">
        <f t="shared" si="32"/>
        <v/>
      </c>
      <c r="H122" s="63" t="str">
        <f t="shared" si="32"/>
        <v/>
      </c>
      <c r="I122" s="63" t="str">
        <f t="shared" si="32"/>
        <v/>
      </c>
      <c r="J122" s="63" t="str">
        <f t="shared" si="32"/>
        <v/>
      </c>
      <c r="K122" s="63" t="str">
        <f t="shared" si="32"/>
        <v/>
      </c>
      <c r="L122" s="63" t="str">
        <f t="shared" si="32"/>
        <v/>
      </c>
      <c r="M122" s="63" t="str">
        <f t="shared" si="32"/>
        <v/>
      </c>
      <c r="N122" s="63" t="str">
        <f t="shared" si="32"/>
        <v/>
      </c>
      <c r="O122" s="63" t="str">
        <f t="shared" si="32"/>
        <v/>
      </c>
      <c r="P122" s="63" t="str">
        <f t="shared" si="32"/>
        <v/>
      </c>
      <c r="Q122" s="63" t="str">
        <f t="shared" si="32"/>
        <v/>
      </c>
      <c r="R122" s="63" t="str">
        <f t="shared" si="32"/>
        <v/>
      </c>
      <c r="S122" s="63" t="str">
        <f t="shared" si="32"/>
        <v/>
      </c>
      <c r="T122" s="63" t="str">
        <f t="shared" si="32"/>
        <v/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</row>
    <row r="123" spans="1:261" s="1" customFormat="1" ht="21" hidden="1" x14ac:dyDescent="0.35">
      <c r="A123"/>
      <c r="B123"/>
      <c r="C123" s="72"/>
      <c r="D123" s="59" t="str">
        <f t="shared" si="31"/>
        <v/>
      </c>
      <c r="E123" s="63" t="str">
        <f t="shared" si="32"/>
        <v/>
      </c>
      <c r="F123" s="63" t="str">
        <f t="shared" si="32"/>
        <v/>
      </c>
      <c r="G123" s="63" t="str">
        <f t="shared" si="32"/>
        <v/>
      </c>
      <c r="H123" s="63" t="str">
        <f t="shared" si="32"/>
        <v/>
      </c>
      <c r="I123" s="63" t="str">
        <f t="shared" si="32"/>
        <v/>
      </c>
      <c r="J123" s="63" t="str">
        <f t="shared" si="32"/>
        <v/>
      </c>
      <c r="K123" s="63" t="str">
        <f t="shared" si="32"/>
        <v/>
      </c>
      <c r="L123" s="63" t="str">
        <f t="shared" si="32"/>
        <v/>
      </c>
      <c r="M123" s="63" t="str">
        <f t="shared" si="32"/>
        <v/>
      </c>
      <c r="N123" s="63" t="str">
        <f t="shared" si="32"/>
        <v/>
      </c>
      <c r="O123" s="63" t="str">
        <f t="shared" si="32"/>
        <v/>
      </c>
      <c r="P123" s="63" t="str">
        <f t="shared" si="32"/>
        <v/>
      </c>
      <c r="Q123" s="63" t="str">
        <f t="shared" si="32"/>
        <v/>
      </c>
      <c r="R123" s="63" t="str">
        <f t="shared" si="32"/>
        <v/>
      </c>
      <c r="S123" s="63" t="str">
        <f t="shared" si="32"/>
        <v/>
      </c>
      <c r="T123" s="63" t="str">
        <f t="shared" si="32"/>
        <v/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</row>
    <row r="124" spans="1:261" s="1" customFormat="1" ht="21" hidden="1" x14ac:dyDescent="0.35">
      <c r="A124"/>
      <c r="B124"/>
      <c r="C124" s="72"/>
      <c r="D124" s="59" t="str">
        <f t="shared" si="31"/>
        <v/>
      </c>
      <c r="E124" s="63" t="str">
        <f t="shared" si="32"/>
        <v/>
      </c>
      <c r="F124" s="63" t="str">
        <f t="shared" si="32"/>
        <v/>
      </c>
      <c r="G124" s="63" t="str">
        <f t="shared" si="32"/>
        <v/>
      </c>
      <c r="H124" s="63" t="str">
        <f t="shared" si="32"/>
        <v/>
      </c>
      <c r="I124" s="63" t="str">
        <f t="shared" si="32"/>
        <v/>
      </c>
      <c r="J124" s="63" t="str">
        <f t="shared" si="32"/>
        <v/>
      </c>
      <c r="K124" s="63" t="str">
        <f t="shared" si="32"/>
        <v/>
      </c>
      <c r="L124" s="63" t="str">
        <f t="shared" si="32"/>
        <v/>
      </c>
      <c r="M124" s="63" t="str">
        <f t="shared" si="32"/>
        <v/>
      </c>
      <c r="N124" s="63" t="str">
        <f t="shared" si="32"/>
        <v/>
      </c>
      <c r="O124" s="63" t="str">
        <f t="shared" si="32"/>
        <v/>
      </c>
      <c r="P124" s="63" t="str">
        <f t="shared" si="32"/>
        <v/>
      </c>
      <c r="Q124" s="63" t="str">
        <f t="shared" si="32"/>
        <v/>
      </c>
      <c r="R124" s="63" t="str">
        <f t="shared" si="32"/>
        <v/>
      </c>
      <c r="S124" s="63" t="str">
        <f t="shared" si="32"/>
        <v/>
      </c>
      <c r="T124" s="63" t="str">
        <f t="shared" si="32"/>
        <v/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</row>
    <row r="125" spans="1:261" s="1" customFormat="1" ht="21" hidden="1" x14ac:dyDescent="0.35">
      <c r="A125"/>
      <c r="B125"/>
      <c r="C125" s="72"/>
      <c r="D125" s="59" t="str">
        <f t="shared" si="31"/>
        <v/>
      </c>
      <c r="E125" s="63" t="str">
        <f t="shared" si="32"/>
        <v/>
      </c>
      <c r="F125" s="63" t="str">
        <f t="shared" si="32"/>
        <v/>
      </c>
      <c r="G125" s="63" t="str">
        <f t="shared" si="32"/>
        <v/>
      </c>
      <c r="H125" s="63" t="str">
        <f t="shared" si="32"/>
        <v/>
      </c>
      <c r="I125" s="63" t="str">
        <f t="shared" si="32"/>
        <v/>
      </c>
      <c r="J125" s="63" t="str">
        <f t="shared" si="32"/>
        <v/>
      </c>
      <c r="K125" s="63" t="str">
        <f t="shared" si="32"/>
        <v/>
      </c>
      <c r="L125" s="63" t="str">
        <f t="shared" si="32"/>
        <v/>
      </c>
      <c r="M125" s="63" t="str">
        <f t="shared" si="32"/>
        <v/>
      </c>
      <c r="N125" s="63" t="str">
        <f t="shared" si="32"/>
        <v/>
      </c>
      <c r="O125" s="63" t="str">
        <f t="shared" si="32"/>
        <v/>
      </c>
      <c r="P125" s="63" t="str">
        <f t="shared" si="32"/>
        <v/>
      </c>
      <c r="Q125" s="63" t="str">
        <f t="shared" si="32"/>
        <v/>
      </c>
      <c r="R125" s="63" t="str">
        <f t="shared" si="32"/>
        <v/>
      </c>
      <c r="S125" s="63" t="str">
        <f t="shared" si="32"/>
        <v/>
      </c>
      <c r="T125" s="63" t="str">
        <f t="shared" si="32"/>
        <v/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</row>
    <row r="126" spans="1:261" s="1" customFormat="1" ht="21" hidden="1" x14ac:dyDescent="0.35">
      <c r="A126"/>
      <c r="B126"/>
      <c r="C126" s="72"/>
      <c r="D126" s="59" t="str">
        <f t="shared" si="31"/>
        <v/>
      </c>
      <c r="E126" s="63" t="str">
        <f t="shared" si="32"/>
        <v/>
      </c>
      <c r="F126" s="63" t="str">
        <f t="shared" si="32"/>
        <v/>
      </c>
      <c r="G126" s="63" t="str">
        <f t="shared" si="32"/>
        <v/>
      </c>
      <c r="H126" s="63" t="str">
        <f t="shared" si="32"/>
        <v/>
      </c>
      <c r="I126" s="63" t="str">
        <f t="shared" si="32"/>
        <v/>
      </c>
      <c r="J126" s="63" t="str">
        <f t="shared" si="32"/>
        <v/>
      </c>
      <c r="K126" s="63" t="str">
        <f t="shared" si="32"/>
        <v/>
      </c>
      <c r="L126" s="63" t="str">
        <f t="shared" si="32"/>
        <v/>
      </c>
      <c r="M126" s="63" t="str">
        <f t="shared" si="32"/>
        <v/>
      </c>
      <c r="N126" s="63" t="str">
        <f t="shared" si="32"/>
        <v/>
      </c>
      <c r="O126" s="63" t="str">
        <f t="shared" si="32"/>
        <v/>
      </c>
      <c r="P126" s="63" t="str">
        <f t="shared" si="32"/>
        <v/>
      </c>
      <c r="Q126" s="63" t="str">
        <f t="shared" si="32"/>
        <v/>
      </c>
      <c r="R126" s="63" t="str">
        <f t="shared" si="32"/>
        <v/>
      </c>
      <c r="S126" s="63" t="str">
        <f t="shared" si="32"/>
        <v/>
      </c>
      <c r="T126" s="63" t="str">
        <f t="shared" si="32"/>
        <v/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</row>
    <row r="127" spans="1:261" s="1" customFormat="1" ht="21" hidden="1" x14ac:dyDescent="0.35">
      <c r="A127"/>
      <c r="B127"/>
      <c r="C127" s="72"/>
      <c r="D127" s="59" t="str">
        <f t="shared" si="31"/>
        <v/>
      </c>
      <c r="E127" s="63" t="str">
        <f t="shared" si="32"/>
        <v/>
      </c>
      <c r="F127" s="63" t="str">
        <f t="shared" si="32"/>
        <v/>
      </c>
      <c r="G127" s="63" t="str">
        <f t="shared" si="32"/>
        <v/>
      </c>
      <c r="H127" s="63" t="str">
        <f t="shared" si="32"/>
        <v/>
      </c>
      <c r="I127" s="63" t="str">
        <f t="shared" si="32"/>
        <v/>
      </c>
      <c r="J127" s="63" t="str">
        <f t="shared" si="32"/>
        <v/>
      </c>
      <c r="K127" s="63" t="str">
        <f t="shared" si="32"/>
        <v/>
      </c>
      <c r="L127" s="63" t="str">
        <f t="shared" si="32"/>
        <v/>
      </c>
      <c r="M127" s="63" t="str">
        <f t="shared" si="32"/>
        <v/>
      </c>
      <c r="N127" s="63" t="str">
        <f t="shared" si="32"/>
        <v/>
      </c>
      <c r="O127" s="63" t="str">
        <f t="shared" si="32"/>
        <v/>
      </c>
      <c r="P127" s="63" t="str">
        <f t="shared" si="32"/>
        <v/>
      </c>
      <c r="Q127" s="63" t="str">
        <f t="shared" si="32"/>
        <v/>
      </c>
      <c r="R127" s="63" t="str">
        <f t="shared" si="32"/>
        <v/>
      </c>
      <c r="S127" s="63" t="str">
        <f t="shared" si="32"/>
        <v/>
      </c>
      <c r="T127" s="63" t="str">
        <f t="shared" si="32"/>
        <v/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</row>
    <row r="128" spans="1:261" s="1" customFormat="1" ht="21" hidden="1" x14ac:dyDescent="0.35">
      <c r="A128"/>
      <c r="B128"/>
      <c r="C128" s="72"/>
      <c r="D128" s="59" t="str">
        <f t="shared" si="31"/>
        <v/>
      </c>
      <c r="E128" s="63" t="str">
        <f t="shared" si="32"/>
        <v/>
      </c>
      <c r="F128" s="63" t="str">
        <f t="shared" si="32"/>
        <v/>
      </c>
      <c r="G128" s="63" t="str">
        <f t="shared" si="32"/>
        <v/>
      </c>
      <c r="H128" s="63" t="str">
        <f t="shared" si="32"/>
        <v/>
      </c>
      <c r="I128" s="63" t="str">
        <f t="shared" si="32"/>
        <v/>
      </c>
      <c r="J128" s="63" t="str">
        <f t="shared" si="32"/>
        <v/>
      </c>
      <c r="K128" s="63" t="str">
        <f t="shared" si="32"/>
        <v/>
      </c>
      <c r="L128" s="63" t="str">
        <f t="shared" si="32"/>
        <v/>
      </c>
      <c r="M128" s="63" t="str">
        <f t="shared" si="32"/>
        <v/>
      </c>
      <c r="N128" s="63" t="str">
        <f t="shared" si="32"/>
        <v/>
      </c>
      <c r="O128" s="63" t="str">
        <f t="shared" si="32"/>
        <v/>
      </c>
      <c r="P128" s="63" t="str">
        <f t="shared" si="32"/>
        <v/>
      </c>
      <c r="Q128" s="63" t="str">
        <f t="shared" si="32"/>
        <v/>
      </c>
      <c r="R128" s="63" t="str">
        <f t="shared" si="32"/>
        <v/>
      </c>
      <c r="S128" s="63" t="str">
        <f t="shared" si="32"/>
        <v/>
      </c>
      <c r="T128" s="63" t="str">
        <f t="shared" si="32"/>
        <v/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</row>
    <row r="129" spans="1:261" s="1" customFormat="1" ht="21" hidden="1" x14ac:dyDescent="0.35">
      <c r="A129"/>
      <c r="B129"/>
      <c r="C129" s="72"/>
      <c r="D129" s="59" t="str">
        <f t="shared" si="31"/>
        <v/>
      </c>
      <c r="E129" s="63" t="str">
        <f t="shared" si="32"/>
        <v/>
      </c>
      <c r="F129" s="63" t="str">
        <f t="shared" si="32"/>
        <v/>
      </c>
      <c r="G129" s="63" t="str">
        <f t="shared" si="32"/>
        <v/>
      </c>
      <c r="H129" s="63" t="str">
        <f t="shared" si="32"/>
        <v/>
      </c>
      <c r="I129" s="63" t="str">
        <f t="shared" si="32"/>
        <v/>
      </c>
      <c r="J129" s="63" t="str">
        <f t="shared" si="32"/>
        <v/>
      </c>
      <c r="K129" s="63" t="str">
        <f t="shared" si="32"/>
        <v/>
      </c>
      <c r="L129" s="63" t="str">
        <f t="shared" si="32"/>
        <v/>
      </c>
      <c r="M129" s="63" t="str">
        <f t="shared" si="32"/>
        <v/>
      </c>
      <c r="N129" s="63" t="str">
        <f t="shared" si="32"/>
        <v/>
      </c>
      <c r="O129" s="63" t="str">
        <f t="shared" si="32"/>
        <v/>
      </c>
      <c r="P129" s="63" t="str">
        <f t="shared" si="32"/>
        <v/>
      </c>
      <c r="Q129" s="63" t="str">
        <f t="shared" si="32"/>
        <v/>
      </c>
      <c r="R129" s="63" t="str">
        <f t="shared" si="32"/>
        <v/>
      </c>
      <c r="S129" s="63" t="str">
        <f t="shared" si="32"/>
        <v/>
      </c>
      <c r="T129" s="63" t="str">
        <f t="shared" si="32"/>
        <v/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</row>
    <row r="130" spans="1:261" s="1" customFormat="1" ht="21" hidden="1" x14ac:dyDescent="0.35">
      <c r="A130"/>
      <c r="B130"/>
      <c r="C130" s="72"/>
      <c r="D130" s="59" t="str">
        <f t="shared" si="31"/>
        <v/>
      </c>
      <c r="E130" s="63" t="str">
        <f t="shared" si="32"/>
        <v/>
      </c>
      <c r="F130" s="63" t="str">
        <f t="shared" si="32"/>
        <v/>
      </c>
      <c r="G130" s="63" t="str">
        <f t="shared" si="32"/>
        <v/>
      </c>
      <c r="H130" s="63" t="str">
        <f t="shared" si="32"/>
        <v/>
      </c>
      <c r="I130" s="63" t="str">
        <f t="shared" si="32"/>
        <v/>
      </c>
      <c r="J130" s="63" t="str">
        <f t="shared" si="32"/>
        <v/>
      </c>
      <c r="K130" s="63" t="str">
        <f t="shared" si="32"/>
        <v/>
      </c>
      <c r="L130" s="63" t="str">
        <f t="shared" si="32"/>
        <v/>
      </c>
      <c r="M130" s="63" t="str">
        <f t="shared" si="32"/>
        <v/>
      </c>
      <c r="N130" s="63" t="str">
        <f t="shared" si="32"/>
        <v/>
      </c>
      <c r="O130" s="63" t="str">
        <f t="shared" si="32"/>
        <v/>
      </c>
      <c r="P130" s="63" t="str">
        <f t="shared" si="32"/>
        <v/>
      </c>
      <c r="Q130" s="63" t="str">
        <f t="shared" si="32"/>
        <v/>
      </c>
      <c r="R130" s="63" t="str">
        <f t="shared" si="32"/>
        <v/>
      </c>
      <c r="S130" s="63" t="str">
        <f t="shared" si="32"/>
        <v/>
      </c>
      <c r="T130" s="63" t="str">
        <f t="shared" si="32"/>
        <v/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</row>
    <row r="131" spans="1:261" s="1" customFormat="1" ht="21" hidden="1" x14ac:dyDescent="0.35">
      <c r="A131"/>
      <c r="B131"/>
      <c r="C131" s="72"/>
      <c r="D131" s="59" t="str">
        <f t="shared" si="31"/>
        <v/>
      </c>
      <c r="E131" s="63" t="str">
        <f t="shared" si="32"/>
        <v/>
      </c>
      <c r="F131" s="63" t="str">
        <f t="shared" si="32"/>
        <v/>
      </c>
      <c r="G131" s="63" t="str">
        <f t="shared" si="32"/>
        <v/>
      </c>
      <c r="H131" s="63" t="str">
        <f t="shared" si="32"/>
        <v/>
      </c>
      <c r="I131" s="63" t="str">
        <f t="shared" si="32"/>
        <v/>
      </c>
      <c r="J131" s="63" t="str">
        <f t="shared" si="32"/>
        <v/>
      </c>
      <c r="K131" s="63" t="str">
        <f t="shared" si="32"/>
        <v/>
      </c>
      <c r="L131" s="63" t="str">
        <f t="shared" si="32"/>
        <v/>
      </c>
      <c r="M131" s="63" t="str">
        <f t="shared" si="32"/>
        <v/>
      </c>
      <c r="N131" s="63" t="str">
        <f t="shared" si="32"/>
        <v/>
      </c>
      <c r="O131" s="63" t="str">
        <f t="shared" si="32"/>
        <v/>
      </c>
      <c r="P131" s="63" t="str">
        <f t="shared" si="32"/>
        <v/>
      </c>
      <c r="Q131" s="63" t="str">
        <f t="shared" si="32"/>
        <v/>
      </c>
      <c r="R131" s="63" t="str">
        <f t="shared" si="32"/>
        <v/>
      </c>
      <c r="S131" s="63" t="str">
        <f t="shared" si="32"/>
        <v/>
      </c>
      <c r="T131" s="63" t="str">
        <f t="shared" si="32"/>
        <v/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</row>
    <row r="132" spans="1:261" s="1" customFormat="1" ht="21" hidden="1" x14ac:dyDescent="0.35">
      <c r="A132"/>
      <c r="B132"/>
      <c r="C132" s="73"/>
      <c r="D132" s="59" t="str">
        <f t="shared" si="31"/>
        <v/>
      </c>
      <c r="E132" s="63" t="str">
        <f t="shared" si="32"/>
        <v/>
      </c>
      <c r="F132" s="63" t="str">
        <f t="shared" si="32"/>
        <v/>
      </c>
      <c r="G132" s="63" t="str">
        <f t="shared" si="32"/>
        <v/>
      </c>
      <c r="H132" s="63" t="str">
        <f t="shared" si="32"/>
        <v/>
      </c>
      <c r="I132" s="63" t="str">
        <f t="shared" si="32"/>
        <v/>
      </c>
      <c r="J132" s="63" t="str">
        <f t="shared" si="32"/>
        <v/>
      </c>
      <c r="K132" s="63" t="str">
        <f t="shared" si="32"/>
        <v/>
      </c>
      <c r="L132" s="63" t="str">
        <f t="shared" si="32"/>
        <v/>
      </c>
      <c r="M132" s="63" t="str">
        <f t="shared" si="32"/>
        <v/>
      </c>
      <c r="N132" s="63" t="str">
        <f t="shared" si="32"/>
        <v/>
      </c>
      <c r="O132" s="63" t="str">
        <f t="shared" si="32"/>
        <v/>
      </c>
      <c r="P132" s="63" t="str">
        <f t="shared" si="32"/>
        <v/>
      </c>
      <c r="Q132" s="63" t="str">
        <f t="shared" si="32"/>
        <v/>
      </c>
      <c r="R132" s="63" t="str">
        <f t="shared" si="32"/>
        <v/>
      </c>
      <c r="S132" s="63" t="str">
        <f t="shared" si="32"/>
        <v/>
      </c>
      <c r="T132" s="63" t="str">
        <f t="shared" si="32"/>
        <v/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</row>
    <row r="133" spans="1:261" s="1" customFormat="1" ht="21" hidden="1" x14ac:dyDescent="0.35">
      <c r="A133"/>
      <c r="B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</row>
    <row r="134" spans="1:261" s="1" customFormat="1" ht="21" hidden="1" x14ac:dyDescent="0.35">
      <c r="A134"/>
      <c r="B134"/>
      <c r="C134" s="71" t="s">
        <v>58</v>
      </c>
      <c r="D134" s="59" t="s">
        <v>55</v>
      </c>
      <c r="E134" s="59">
        <v>0.01</v>
      </c>
      <c r="F134" s="59">
        <v>1.4999999999999999E-2</v>
      </c>
      <c r="G134" s="59">
        <v>2.5000000000000001E-2</v>
      </c>
      <c r="H134" s="59">
        <v>0.04</v>
      </c>
      <c r="I134" s="59">
        <v>6.5000000000000002E-2</v>
      </c>
      <c r="J134" s="59">
        <v>0.1</v>
      </c>
      <c r="K134" s="59">
        <v>0.15</v>
      </c>
      <c r="L134" s="59">
        <v>0.25</v>
      </c>
      <c r="M134" s="59">
        <v>0.4</v>
      </c>
      <c r="N134" s="59">
        <v>0.65</v>
      </c>
      <c r="O134" s="59">
        <v>1</v>
      </c>
      <c r="P134" s="59">
        <v>1.5</v>
      </c>
      <c r="Q134" s="59">
        <v>2.5</v>
      </c>
      <c r="R134" s="59">
        <v>4</v>
      </c>
      <c r="S134" s="59">
        <v>6.5</v>
      </c>
      <c r="T134" s="59">
        <v>10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</row>
    <row r="135" spans="1:261" s="1" customFormat="1" ht="21" hidden="1" x14ac:dyDescent="0.35">
      <c r="A135"/>
      <c r="B135"/>
      <c r="C135" s="72"/>
      <c r="D135" s="59">
        <f t="shared" ref="D135:D147" si="33">IF($W$12=D120,D120,"")</f>
        <v>6</v>
      </c>
      <c r="E135" s="63">
        <f t="shared" ref="E135:T147" si="34">IF(ISNUMBER($D135),E120,"")</f>
        <v>3.9980000000000002E-2</v>
      </c>
      <c r="F135" s="63">
        <f t="shared" si="34"/>
        <v>6.2649999999999997E-2</v>
      </c>
      <c r="G135" s="63">
        <f t="shared" si="34"/>
        <v>0.10009999999999999</v>
      </c>
      <c r="H135" s="63">
        <f t="shared" si="34"/>
        <v>0.1593</v>
      </c>
      <c r="I135" s="63">
        <f t="shared" si="34"/>
        <v>0.25109999999999999</v>
      </c>
      <c r="J135" s="63">
        <f t="shared" si="34"/>
        <v>0.40210000000000001</v>
      </c>
      <c r="K135" s="63">
        <f t="shared" si="34"/>
        <v>0.62990000000000002</v>
      </c>
      <c r="L135" s="63">
        <f t="shared" si="34"/>
        <v>1.012</v>
      </c>
      <c r="M135" s="63">
        <f t="shared" si="34"/>
        <v>1.62</v>
      </c>
      <c r="N135" s="63">
        <f t="shared" si="34"/>
        <v>2.5779999999999998</v>
      </c>
      <c r="O135" s="63">
        <f t="shared" si="34"/>
        <v>4.1959999999999997</v>
      </c>
      <c r="P135" s="63">
        <f t="shared" si="34"/>
        <v>6.7240000000000002</v>
      </c>
      <c r="Q135" s="63">
        <f t="shared" si="34"/>
        <v>9.2460000000000004</v>
      </c>
      <c r="R135" s="63">
        <f t="shared" si="34"/>
        <v>13.29</v>
      </c>
      <c r="S135" s="63">
        <f t="shared" si="34"/>
        <v>19.02</v>
      </c>
      <c r="T135" s="63">
        <f t="shared" si="34"/>
        <v>29.03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</row>
    <row r="136" spans="1:261" s="1" customFormat="1" ht="21" hidden="1" x14ac:dyDescent="0.35">
      <c r="A136"/>
      <c r="B136"/>
      <c r="C136" s="72"/>
      <c r="D136" s="59" t="str">
        <f t="shared" si="33"/>
        <v/>
      </c>
      <c r="E136" s="63" t="str">
        <f t="shared" si="34"/>
        <v/>
      </c>
      <c r="F136" s="63" t="str">
        <f t="shared" si="34"/>
        <v/>
      </c>
      <c r="G136" s="63" t="str">
        <f t="shared" si="34"/>
        <v/>
      </c>
      <c r="H136" s="63" t="str">
        <f t="shared" si="34"/>
        <v/>
      </c>
      <c r="I136" s="63" t="str">
        <f t="shared" si="34"/>
        <v/>
      </c>
      <c r="J136" s="63" t="str">
        <f t="shared" si="34"/>
        <v/>
      </c>
      <c r="K136" s="63" t="str">
        <f t="shared" si="34"/>
        <v/>
      </c>
      <c r="L136" s="63" t="str">
        <f t="shared" si="34"/>
        <v/>
      </c>
      <c r="M136" s="63" t="str">
        <f t="shared" si="34"/>
        <v/>
      </c>
      <c r="N136" s="63" t="str">
        <f t="shared" si="34"/>
        <v/>
      </c>
      <c r="O136" s="63" t="str">
        <f t="shared" si="34"/>
        <v/>
      </c>
      <c r="P136" s="63" t="str">
        <f t="shared" si="34"/>
        <v/>
      </c>
      <c r="Q136" s="63" t="str">
        <f t="shared" si="34"/>
        <v/>
      </c>
      <c r="R136" s="63" t="str">
        <f t="shared" si="34"/>
        <v/>
      </c>
      <c r="S136" s="63" t="str">
        <f t="shared" si="34"/>
        <v/>
      </c>
      <c r="T136" s="63" t="str">
        <f t="shared" si="34"/>
        <v/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</row>
    <row r="137" spans="1:261" s="1" customFormat="1" ht="21" hidden="1" x14ac:dyDescent="0.35">
      <c r="A137"/>
      <c r="B137"/>
      <c r="C137" s="72"/>
      <c r="D137" s="59" t="str">
        <f t="shared" si="33"/>
        <v/>
      </c>
      <c r="E137" s="63" t="str">
        <f t="shared" si="34"/>
        <v/>
      </c>
      <c r="F137" s="63" t="str">
        <f t="shared" si="34"/>
        <v/>
      </c>
      <c r="G137" s="63" t="str">
        <f t="shared" si="34"/>
        <v/>
      </c>
      <c r="H137" s="63" t="str">
        <f t="shared" si="34"/>
        <v/>
      </c>
      <c r="I137" s="63" t="str">
        <f t="shared" si="34"/>
        <v/>
      </c>
      <c r="J137" s="63" t="str">
        <f t="shared" si="34"/>
        <v/>
      </c>
      <c r="K137" s="63" t="str">
        <f t="shared" si="34"/>
        <v/>
      </c>
      <c r="L137" s="63" t="str">
        <f t="shared" si="34"/>
        <v/>
      </c>
      <c r="M137" s="63" t="str">
        <f t="shared" si="34"/>
        <v/>
      </c>
      <c r="N137" s="63" t="str">
        <f t="shared" si="34"/>
        <v/>
      </c>
      <c r="O137" s="63" t="str">
        <f t="shared" si="34"/>
        <v/>
      </c>
      <c r="P137" s="63" t="str">
        <f t="shared" si="34"/>
        <v/>
      </c>
      <c r="Q137" s="63" t="str">
        <f t="shared" si="34"/>
        <v/>
      </c>
      <c r="R137" s="63" t="str">
        <f t="shared" si="34"/>
        <v/>
      </c>
      <c r="S137" s="63" t="str">
        <f t="shared" si="34"/>
        <v/>
      </c>
      <c r="T137" s="63" t="str">
        <f t="shared" si="34"/>
        <v/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</row>
    <row r="138" spans="1:261" s="1" customFormat="1" ht="21" hidden="1" x14ac:dyDescent="0.35">
      <c r="A138"/>
      <c r="B138"/>
      <c r="C138" s="72"/>
      <c r="D138" s="59" t="str">
        <f t="shared" si="33"/>
        <v/>
      </c>
      <c r="E138" s="63" t="str">
        <f t="shared" si="34"/>
        <v/>
      </c>
      <c r="F138" s="63" t="str">
        <f t="shared" si="34"/>
        <v/>
      </c>
      <c r="G138" s="63" t="str">
        <f t="shared" si="34"/>
        <v/>
      </c>
      <c r="H138" s="63" t="str">
        <f t="shared" si="34"/>
        <v/>
      </c>
      <c r="I138" s="63" t="str">
        <f t="shared" si="34"/>
        <v/>
      </c>
      <c r="J138" s="63" t="str">
        <f t="shared" si="34"/>
        <v/>
      </c>
      <c r="K138" s="63" t="str">
        <f t="shared" si="34"/>
        <v/>
      </c>
      <c r="L138" s="63" t="str">
        <f t="shared" si="34"/>
        <v/>
      </c>
      <c r="M138" s="63" t="str">
        <f t="shared" si="34"/>
        <v/>
      </c>
      <c r="N138" s="63" t="str">
        <f t="shared" si="34"/>
        <v/>
      </c>
      <c r="O138" s="63" t="str">
        <f t="shared" si="34"/>
        <v/>
      </c>
      <c r="P138" s="63" t="str">
        <f t="shared" si="34"/>
        <v/>
      </c>
      <c r="Q138" s="63" t="str">
        <f t="shared" si="34"/>
        <v/>
      </c>
      <c r="R138" s="63" t="str">
        <f t="shared" si="34"/>
        <v/>
      </c>
      <c r="S138" s="63" t="str">
        <f t="shared" si="34"/>
        <v/>
      </c>
      <c r="T138" s="63" t="str">
        <f t="shared" si="34"/>
        <v/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</row>
    <row r="139" spans="1:261" s="1" customFormat="1" ht="21" hidden="1" x14ac:dyDescent="0.35">
      <c r="A139"/>
      <c r="B139"/>
      <c r="C139" s="72"/>
      <c r="D139" s="59" t="str">
        <f t="shared" si="33"/>
        <v/>
      </c>
      <c r="E139" s="63" t="str">
        <f t="shared" si="34"/>
        <v/>
      </c>
      <c r="F139" s="63" t="str">
        <f t="shared" si="34"/>
        <v/>
      </c>
      <c r="G139" s="63" t="str">
        <f t="shared" si="34"/>
        <v/>
      </c>
      <c r="H139" s="63" t="str">
        <f t="shared" si="34"/>
        <v/>
      </c>
      <c r="I139" s="63" t="str">
        <f t="shared" si="34"/>
        <v/>
      </c>
      <c r="J139" s="63" t="str">
        <f t="shared" si="34"/>
        <v/>
      </c>
      <c r="K139" s="63" t="str">
        <f t="shared" si="34"/>
        <v/>
      </c>
      <c r="L139" s="63" t="str">
        <f t="shared" si="34"/>
        <v/>
      </c>
      <c r="M139" s="63" t="str">
        <f t="shared" si="34"/>
        <v/>
      </c>
      <c r="N139" s="63" t="str">
        <f t="shared" si="34"/>
        <v/>
      </c>
      <c r="O139" s="63" t="str">
        <f t="shared" si="34"/>
        <v/>
      </c>
      <c r="P139" s="63" t="str">
        <f t="shared" si="34"/>
        <v/>
      </c>
      <c r="Q139" s="63" t="str">
        <f t="shared" si="34"/>
        <v/>
      </c>
      <c r="R139" s="63" t="str">
        <f t="shared" si="34"/>
        <v/>
      </c>
      <c r="S139" s="63" t="str">
        <f t="shared" si="34"/>
        <v/>
      </c>
      <c r="T139" s="63" t="str">
        <f t="shared" si="34"/>
        <v/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</row>
    <row r="140" spans="1:261" s="1" customFormat="1" ht="21" hidden="1" x14ac:dyDescent="0.35">
      <c r="A140"/>
      <c r="B140"/>
      <c r="C140" s="72"/>
      <c r="D140" s="59" t="str">
        <f t="shared" si="33"/>
        <v/>
      </c>
      <c r="E140" s="63" t="str">
        <f t="shared" si="34"/>
        <v/>
      </c>
      <c r="F140" s="63" t="str">
        <f t="shared" si="34"/>
        <v/>
      </c>
      <c r="G140" s="63" t="str">
        <f t="shared" si="34"/>
        <v/>
      </c>
      <c r="H140" s="63" t="str">
        <f t="shared" si="34"/>
        <v/>
      </c>
      <c r="I140" s="63" t="str">
        <f t="shared" si="34"/>
        <v/>
      </c>
      <c r="J140" s="63" t="str">
        <f t="shared" si="34"/>
        <v/>
      </c>
      <c r="K140" s="63" t="str">
        <f t="shared" si="34"/>
        <v/>
      </c>
      <c r="L140" s="63" t="str">
        <f t="shared" si="34"/>
        <v/>
      </c>
      <c r="M140" s="63" t="str">
        <f t="shared" si="34"/>
        <v/>
      </c>
      <c r="N140" s="63" t="str">
        <f t="shared" si="34"/>
        <v/>
      </c>
      <c r="O140" s="63" t="str">
        <f t="shared" si="34"/>
        <v/>
      </c>
      <c r="P140" s="63" t="str">
        <f t="shared" si="34"/>
        <v/>
      </c>
      <c r="Q140" s="63" t="str">
        <f t="shared" si="34"/>
        <v/>
      </c>
      <c r="R140" s="63" t="str">
        <f t="shared" si="34"/>
        <v/>
      </c>
      <c r="S140" s="63" t="str">
        <f t="shared" si="34"/>
        <v/>
      </c>
      <c r="T140" s="63" t="str">
        <f t="shared" si="34"/>
        <v/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</row>
    <row r="141" spans="1:261" s="1" customFormat="1" ht="21" hidden="1" x14ac:dyDescent="0.35">
      <c r="A141"/>
      <c r="B141"/>
      <c r="C141" s="72"/>
      <c r="D141" s="59" t="str">
        <f t="shared" si="33"/>
        <v/>
      </c>
      <c r="E141" s="63" t="str">
        <f t="shared" si="34"/>
        <v/>
      </c>
      <c r="F141" s="63" t="str">
        <f t="shared" si="34"/>
        <v/>
      </c>
      <c r="G141" s="63" t="str">
        <f t="shared" si="34"/>
        <v/>
      </c>
      <c r="H141" s="63" t="str">
        <f t="shared" si="34"/>
        <v/>
      </c>
      <c r="I141" s="63" t="str">
        <f t="shared" si="34"/>
        <v/>
      </c>
      <c r="J141" s="63" t="str">
        <f t="shared" si="34"/>
        <v/>
      </c>
      <c r="K141" s="63" t="str">
        <f t="shared" si="34"/>
        <v/>
      </c>
      <c r="L141" s="63" t="str">
        <f t="shared" si="34"/>
        <v/>
      </c>
      <c r="M141" s="63" t="str">
        <f t="shared" si="34"/>
        <v/>
      </c>
      <c r="N141" s="63" t="str">
        <f t="shared" si="34"/>
        <v/>
      </c>
      <c r="O141" s="63" t="str">
        <f t="shared" si="34"/>
        <v/>
      </c>
      <c r="P141" s="63" t="str">
        <f t="shared" si="34"/>
        <v/>
      </c>
      <c r="Q141" s="63" t="str">
        <f t="shared" si="34"/>
        <v/>
      </c>
      <c r="R141" s="63" t="str">
        <f t="shared" si="34"/>
        <v/>
      </c>
      <c r="S141" s="63" t="str">
        <f t="shared" si="34"/>
        <v/>
      </c>
      <c r="T141" s="63" t="str">
        <f t="shared" si="34"/>
        <v/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</row>
    <row r="142" spans="1:261" s="1" customFormat="1" ht="21" hidden="1" x14ac:dyDescent="0.35">
      <c r="A142"/>
      <c r="B142"/>
      <c r="C142" s="72"/>
      <c r="D142" s="59" t="str">
        <f t="shared" si="33"/>
        <v/>
      </c>
      <c r="E142" s="63" t="str">
        <f t="shared" si="34"/>
        <v/>
      </c>
      <c r="F142" s="63" t="str">
        <f t="shared" si="34"/>
        <v/>
      </c>
      <c r="G142" s="63" t="str">
        <f t="shared" si="34"/>
        <v/>
      </c>
      <c r="H142" s="63" t="str">
        <f t="shared" si="34"/>
        <v/>
      </c>
      <c r="I142" s="63" t="str">
        <f t="shared" si="34"/>
        <v/>
      </c>
      <c r="J142" s="63" t="str">
        <f t="shared" si="34"/>
        <v/>
      </c>
      <c r="K142" s="63" t="str">
        <f t="shared" si="34"/>
        <v/>
      </c>
      <c r="L142" s="63" t="str">
        <f t="shared" si="34"/>
        <v/>
      </c>
      <c r="M142" s="63" t="str">
        <f t="shared" si="34"/>
        <v/>
      </c>
      <c r="N142" s="63" t="str">
        <f t="shared" si="34"/>
        <v/>
      </c>
      <c r="O142" s="63" t="str">
        <f t="shared" si="34"/>
        <v/>
      </c>
      <c r="P142" s="63" t="str">
        <f t="shared" si="34"/>
        <v/>
      </c>
      <c r="Q142" s="63" t="str">
        <f t="shared" si="34"/>
        <v/>
      </c>
      <c r="R142" s="63" t="str">
        <f t="shared" si="34"/>
        <v/>
      </c>
      <c r="S142" s="63" t="str">
        <f t="shared" si="34"/>
        <v/>
      </c>
      <c r="T142" s="63" t="str">
        <f t="shared" si="34"/>
        <v/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</row>
    <row r="143" spans="1:261" s="1" customFormat="1" ht="21" hidden="1" x14ac:dyDescent="0.35">
      <c r="A143"/>
      <c r="B143"/>
      <c r="C143" s="72"/>
      <c r="D143" s="59" t="str">
        <f t="shared" si="33"/>
        <v/>
      </c>
      <c r="E143" s="63" t="str">
        <f t="shared" si="34"/>
        <v/>
      </c>
      <c r="F143" s="63" t="str">
        <f t="shared" si="34"/>
        <v/>
      </c>
      <c r="G143" s="63" t="str">
        <f t="shared" si="34"/>
        <v/>
      </c>
      <c r="H143" s="63" t="str">
        <f t="shared" si="34"/>
        <v/>
      </c>
      <c r="I143" s="63" t="str">
        <f t="shared" si="34"/>
        <v/>
      </c>
      <c r="J143" s="63" t="str">
        <f t="shared" si="34"/>
        <v/>
      </c>
      <c r="K143" s="63" t="str">
        <f t="shared" si="34"/>
        <v/>
      </c>
      <c r="L143" s="63" t="str">
        <f t="shared" si="34"/>
        <v/>
      </c>
      <c r="M143" s="63" t="str">
        <f t="shared" si="34"/>
        <v/>
      </c>
      <c r="N143" s="63" t="str">
        <f t="shared" si="34"/>
        <v/>
      </c>
      <c r="O143" s="63" t="str">
        <f t="shared" si="34"/>
        <v/>
      </c>
      <c r="P143" s="63" t="str">
        <f t="shared" si="34"/>
        <v/>
      </c>
      <c r="Q143" s="63" t="str">
        <f t="shared" si="34"/>
        <v/>
      </c>
      <c r="R143" s="63" t="str">
        <f t="shared" si="34"/>
        <v/>
      </c>
      <c r="S143" s="63" t="str">
        <f t="shared" si="34"/>
        <v/>
      </c>
      <c r="T143" s="63" t="str">
        <f t="shared" si="34"/>
        <v/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</row>
    <row r="144" spans="1:261" s="1" customFormat="1" ht="21" hidden="1" x14ac:dyDescent="0.35">
      <c r="A144"/>
      <c r="B144"/>
      <c r="C144" s="72"/>
      <c r="D144" s="59" t="str">
        <f t="shared" si="33"/>
        <v/>
      </c>
      <c r="E144" s="63" t="str">
        <f t="shared" si="34"/>
        <v/>
      </c>
      <c r="F144" s="63" t="str">
        <f t="shared" si="34"/>
        <v/>
      </c>
      <c r="G144" s="63" t="str">
        <f t="shared" si="34"/>
        <v/>
      </c>
      <c r="H144" s="63" t="str">
        <f t="shared" si="34"/>
        <v/>
      </c>
      <c r="I144" s="63" t="str">
        <f t="shared" si="34"/>
        <v/>
      </c>
      <c r="J144" s="63" t="str">
        <f t="shared" si="34"/>
        <v/>
      </c>
      <c r="K144" s="63" t="str">
        <f t="shared" si="34"/>
        <v/>
      </c>
      <c r="L144" s="63" t="str">
        <f t="shared" si="34"/>
        <v/>
      </c>
      <c r="M144" s="63" t="str">
        <f t="shared" si="34"/>
        <v/>
      </c>
      <c r="N144" s="63" t="str">
        <f t="shared" si="34"/>
        <v/>
      </c>
      <c r="O144" s="63" t="str">
        <f t="shared" si="34"/>
        <v/>
      </c>
      <c r="P144" s="63" t="str">
        <f t="shared" si="34"/>
        <v/>
      </c>
      <c r="Q144" s="63" t="str">
        <f t="shared" si="34"/>
        <v/>
      </c>
      <c r="R144" s="63" t="str">
        <f t="shared" si="34"/>
        <v/>
      </c>
      <c r="S144" s="63" t="str">
        <f t="shared" si="34"/>
        <v/>
      </c>
      <c r="T144" s="63" t="str">
        <f t="shared" si="34"/>
        <v/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</row>
    <row r="145" spans="1:261" s="1" customFormat="1" ht="21" hidden="1" x14ac:dyDescent="0.35">
      <c r="A145"/>
      <c r="B145"/>
      <c r="C145" s="72"/>
      <c r="D145" s="59" t="str">
        <f t="shared" si="33"/>
        <v/>
      </c>
      <c r="E145" s="63" t="str">
        <f t="shared" si="34"/>
        <v/>
      </c>
      <c r="F145" s="63" t="str">
        <f t="shared" si="34"/>
        <v/>
      </c>
      <c r="G145" s="63" t="str">
        <f t="shared" si="34"/>
        <v/>
      </c>
      <c r="H145" s="63" t="str">
        <f t="shared" si="34"/>
        <v/>
      </c>
      <c r="I145" s="63" t="str">
        <f t="shared" si="34"/>
        <v/>
      </c>
      <c r="J145" s="63" t="str">
        <f t="shared" si="34"/>
        <v/>
      </c>
      <c r="K145" s="63" t="str">
        <f t="shared" si="34"/>
        <v/>
      </c>
      <c r="L145" s="63" t="str">
        <f t="shared" si="34"/>
        <v/>
      </c>
      <c r="M145" s="63" t="str">
        <f t="shared" si="34"/>
        <v/>
      </c>
      <c r="N145" s="63" t="str">
        <f t="shared" si="34"/>
        <v/>
      </c>
      <c r="O145" s="63" t="str">
        <f t="shared" si="34"/>
        <v/>
      </c>
      <c r="P145" s="63" t="str">
        <f t="shared" si="34"/>
        <v/>
      </c>
      <c r="Q145" s="63" t="str">
        <f t="shared" si="34"/>
        <v/>
      </c>
      <c r="R145" s="63" t="str">
        <f t="shared" si="34"/>
        <v/>
      </c>
      <c r="S145" s="63" t="str">
        <f t="shared" si="34"/>
        <v/>
      </c>
      <c r="T145" s="63" t="str">
        <f t="shared" si="34"/>
        <v/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</row>
    <row r="146" spans="1:261" s="1" customFormat="1" ht="21" hidden="1" x14ac:dyDescent="0.35">
      <c r="A146"/>
      <c r="B146"/>
      <c r="C146" s="72"/>
      <c r="D146" s="59" t="str">
        <f t="shared" si="33"/>
        <v/>
      </c>
      <c r="E146" s="63" t="str">
        <f t="shared" si="34"/>
        <v/>
      </c>
      <c r="F146" s="63" t="str">
        <f t="shared" si="34"/>
        <v/>
      </c>
      <c r="G146" s="63" t="str">
        <f t="shared" si="34"/>
        <v/>
      </c>
      <c r="H146" s="63" t="str">
        <f t="shared" si="34"/>
        <v/>
      </c>
      <c r="I146" s="63" t="str">
        <f t="shared" si="34"/>
        <v/>
      </c>
      <c r="J146" s="63" t="str">
        <f t="shared" si="34"/>
        <v/>
      </c>
      <c r="K146" s="63" t="str">
        <f t="shared" si="34"/>
        <v/>
      </c>
      <c r="L146" s="63" t="str">
        <f t="shared" si="34"/>
        <v/>
      </c>
      <c r="M146" s="63" t="str">
        <f t="shared" si="34"/>
        <v/>
      </c>
      <c r="N146" s="63" t="str">
        <f t="shared" si="34"/>
        <v/>
      </c>
      <c r="O146" s="63" t="str">
        <f t="shared" si="34"/>
        <v/>
      </c>
      <c r="P146" s="63" t="str">
        <f t="shared" si="34"/>
        <v/>
      </c>
      <c r="Q146" s="63" t="str">
        <f t="shared" si="34"/>
        <v/>
      </c>
      <c r="R146" s="63" t="str">
        <f t="shared" si="34"/>
        <v/>
      </c>
      <c r="S146" s="63" t="str">
        <f t="shared" si="34"/>
        <v/>
      </c>
      <c r="T146" s="63" t="str">
        <f t="shared" si="34"/>
        <v/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</row>
    <row r="147" spans="1:261" s="1" customFormat="1" ht="21" hidden="1" x14ac:dyDescent="0.35">
      <c r="A147"/>
      <c r="B147"/>
      <c r="C147" s="73"/>
      <c r="D147" s="59" t="str">
        <f t="shared" si="33"/>
        <v/>
      </c>
      <c r="E147" s="63" t="str">
        <f t="shared" si="34"/>
        <v/>
      </c>
      <c r="F147" s="63" t="str">
        <f t="shared" si="34"/>
        <v/>
      </c>
      <c r="G147" s="63" t="str">
        <f t="shared" si="34"/>
        <v/>
      </c>
      <c r="H147" s="63" t="str">
        <f t="shared" si="34"/>
        <v/>
      </c>
      <c r="I147" s="63" t="str">
        <f t="shared" si="34"/>
        <v/>
      </c>
      <c r="J147" s="63" t="str">
        <f t="shared" si="34"/>
        <v/>
      </c>
      <c r="K147" s="63" t="str">
        <f t="shared" si="34"/>
        <v/>
      </c>
      <c r="L147" s="63" t="str">
        <f t="shared" si="34"/>
        <v/>
      </c>
      <c r="M147" s="63" t="str">
        <f t="shared" si="34"/>
        <v/>
      </c>
      <c r="N147" s="63" t="str">
        <f t="shared" si="34"/>
        <v/>
      </c>
      <c r="O147" s="63" t="str">
        <f t="shared" si="34"/>
        <v/>
      </c>
      <c r="P147" s="63" t="str">
        <f t="shared" si="34"/>
        <v/>
      </c>
      <c r="Q147" s="63" t="str">
        <f t="shared" si="34"/>
        <v/>
      </c>
      <c r="R147" s="63" t="str">
        <f t="shared" si="34"/>
        <v/>
      </c>
      <c r="S147" s="63" t="str">
        <f t="shared" si="34"/>
        <v/>
      </c>
      <c r="T147" s="63" t="str">
        <f t="shared" si="34"/>
        <v/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</row>
    <row r="148" spans="1:261" s="1" customFormat="1" ht="21" hidden="1" x14ac:dyDescent="0.35">
      <c r="A148"/>
      <c r="B148"/>
      <c r="D148" s="64" t="s">
        <v>59</v>
      </c>
      <c r="E148" s="63">
        <f>SUM(E135:E147)</f>
        <v>3.9980000000000002E-2</v>
      </c>
      <c r="F148" s="63">
        <f t="shared" ref="F148:T148" si="35">SUM(F135:F147)</f>
        <v>6.2649999999999997E-2</v>
      </c>
      <c r="G148" s="63">
        <f t="shared" si="35"/>
        <v>0.10009999999999999</v>
      </c>
      <c r="H148" s="63">
        <f t="shared" si="35"/>
        <v>0.1593</v>
      </c>
      <c r="I148" s="63">
        <f t="shared" si="35"/>
        <v>0.25109999999999999</v>
      </c>
      <c r="J148" s="63">
        <f t="shared" si="35"/>
        <v>0.40210000000000001</v>
      </c>
      <c r="K148" s="63">
        <f t="shared" si="35"/>
        <v>0.62990000000000002</v>
      </c>
      <c r="L148" s="63">
        <f t="shared" si="35"/>
        <v>1.012</v>
      </c>
      <c r="M148" s="63">
        <f t="shared" si="35"/>
        <v>1.62</v>
      </c>
      <c r="N148" s="63">
        <f t="shared" si="35"/>
        <v>2.5779999999999998</v>
      </c>
      <c r="O148" s="63">
        <f t="shared" si="35"/>
        <v>4.1959999999999997</v>
      </c>
      <c r="P148" s="63">
        <f t="shared" si="35"/>
        <v>6.7240000000000002</v>
      </c>
      <c r="Q148" s="63">
        <f t="shared" si="35"/>
        <v>9.2460000000000004</v>
      </c>
      <c r="R148" s="63">
        <f t="shared" si="35"/>
        <v>13.29</v>
      </c>
      <c r="S148" s="63">
        <f t="shared" si="35"/>
        <v>19.02</v>
      </c>
      <c r="T148" s="63">
        <f t="shared" si="35"/>
        <v>29.03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</row>
    <row r="149" spans="1:261" s="1" customFormat="1" ht="21" hidden="1" x14ac:dyDescent="0.35">
      <c r="A149"/>
      <c r="B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</row>
    <row r="150" spans="1:261" s="1" customFormat="1" ht="21" hidden="1" x14ac:dyDescent="0.35">
      <c r="A150"/>
      <c r="B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</row>
    <row r="151" spans="1:261" s="1" customFormat="1" ht="21" x14ac:dyDescent="0.35">
      <c r="A151"/>
      <c r="B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</row>
  </sheetData>
  <protectedRanges>
    <protectedRange sqref="Q11:AC38 E50:IT67" name="Plage1"/>
  </protectedRanges>
  <mergeCells count="145">
    <mergeCell ref="C6:N7"/>
    <mergeCell ref="P6:AF7"/>
    <mergeCell ref="C9:F10"/>
    <mergeCell ref="Q10:S10"/>
    <mergeCell ref="T10:U10"/>
    <mergeCell ref="V10:W10"/>
    <mergeCell ref="X10:Z10"/>
    <mergeCell ref="AA10:AC10"/>
    <mergeCell ref="AD11:AF11"/>
    <mergeCell ref="R11:S11"/>
    <mergeCell ref="X11:X38"/>
    <mergeCell ref="P12:P29"/>
    <mergeCell ref="Q12:Q13"/>
    <mergeCell ref="T12:T13"/>
    <mergeCell ref="U12:U13"/>
    <mergeCell ref="V12:V13"/>
    <mergeCell ref="W12:W38"/>
    <mergeCell ref="Y12:Y13"/>
    <mergeCell ref="Z12:Z13"/>
    <mergeCell ref="AA12:AA13"/>
    <mergeCell ref="AB12:AB13"/>
    <mergeCell ref="AC12:AC13"/>
    <mergeCell ref="AD12:AD38"/>
    <mergeCell ref="Q14:Q15"/>
    <mergeCell ref="T14:T15"/>
    <mergeCell ref="U14:U15"/>
    <mergeCell ref="V14:V15"/>
    <mergeCell ref="Y14:Y15"/>
    <mergeCell ref="Z14:Z15"/>
    <mergeCell ref="AA14:AA15"/>
    <mergeCell ref="AB14:AB15"/>
    <mergeCell ref="AC14:AC15"/>
    <mergeCell ref="Q16:Q17"/>
    <mergeCell ref="T16:T17"/>
    <mergeCell ref="U16:U17"/>
    <mergeCell ref="V16:V17"/>
    <mergeCell ref="Y16:Y17"/>
    <mergeCell ref="Z16:Z17"/>
    <mergeCell ref="AA16:AA17"/>
    <mergeCell ref="AB16:AB17"/>
    <mergeCell ref="AC16:AC17"/>
    <mergeCell ref="Q18:Q19"/>
    <mergeCell ref="T18:T19"/>
    <mergeCell ref="U18:U19"/>
    <mergeCell ref="V18:V19"/>
    <mergeCell ref="Y18:Y19"/>
    <mergeCell ref="Z18:Z19"/>
    <mergeCell ref="AA18:AA19"/>
    <mergeCell ref="AB18:AB19"/>
    <mergeCell ref="AC18:AC19"/>
    <mergeCell ref="Q20:Q21"/>
    <mergeCell ref="T20:T21"/>
    <mergeCell ref="U20:U21"/>
    <mergeCell ref="V20:V21"/>
    <mergeCell ref="Y20:Y21"/>
    <mergeCell ref="Z20:Z21"/>
    <mergeCell ref="AA20:AA21"/>
    <mergeCell ref="AB20:AB21"/>
    <mergeCell ref="AC20:AC21"/>
    <mergeCell ref="Q22:Q23"/>
    <mergeCell ref="T22:T23"/>
    <mergeCell ref="U22:U23"/>
    <mergeCell ref="V22:V23"/>
    <mergeCell ref="Y22:Y23"/>
    <mergeCell ref="Z22:Z23"/>
    <mergeCell ref="AA22:AA23"/>
    <mergeCell ref="AB22:AB23"/>
    <mergeCell ref="AC22:AC23"/>
    <mergeCell ref="AA24:AA25"/>
    <mergeCell ref="AB24:AB25"/>
    <mergeCell ref="AC24:AC25"/>
    <mergeCell ref="Q26:Q27"/>
    <mergeCell ref="T26:T27"/>
    <mergeCell ref="U26:U27"/>
    <mergeCell ref="V26:V27"/>
    <mergeCell ref="Y26:Y27"/>
    <mergeCell ref="Z26:Z27"/>
    <mergeCell ref="AA26:AA27"/>
    <mergeCell ref="Q24:Q25"/>
    <mergeCell ref="T24:T25"/>
    <mergeCell ref="U24:U25"/>
    <mergeCell ref="V24:V25"/>
    <mergeCell ref="Y24:Y25"/>
    <mergeCell ref="Z24:Z25"/>
    <mergeCell ref="AB26:AB27"/>
    <mergeCell ref="AC26:AC27"/>
    <mergeCell ref="C50:C58"/>
    <mergeCell ref="C59:C67"/>
    <mergeCell ref="C70:AG72"/>
    <mergeCell ref="E74:M74"/>
    <mergeCell ref="N74:O74"/>
    <mergeCell ref="AC28:AC29"/>
    <mergeCell ref="P30:P38"/>
    <mergeCell ref="X39:Y41"/>
    <mergeCell ref="C43:AG45"/>
    <mergeCell ref="AD39:AF39"/>
    <mergeCell ref="Q28:Q29"/>
    <mergeCell ref="T28:T29"/>
    <mergeCell ref="U28:U29"/>
    <mergeCell ref="V28:V29"/>
    <mergeCell ref="Y28:Y29"/>
    <mergeCell ref="Z28:Z29"/>
    <mergeCell ref="AA28:AA29"/>
    <mergeCell ref="AB28:AB29"/>
    <mergeCell ref="E48:IT48"/>
    <mergeCell ref="E76:E77"/>
    <mergeCell ref="F76:F77"/>
    <mergeCell ref="G76:G77"/>
    <mergeCell ref="J76:J102"/>
    <mergeCell ref="O76:O77"/>
    <mergeCell ref="E78:E79"/>
    <mergeCell ref="F78:F79"/>
    <mergeCell ref="G78:G79"/>
    <mergeCell ref="O78:O79"/>
    <mergeCell ref="E80:E81"/>
    <mergeCell ref="E84:E85"/>
    <mergeCell ref="F84:F85"/>
    <mergeCell ref="G84:G85"/>
    <mergeCell ref="O84:O85"/>
    <mergeCell ref="E86:E87"/>
    <mergeCell ref="F86:F87"/>
    <mergeCell ref="G86:G87"/>
    <mergeCell ref="O86:O87"/>
    <mergeCell ref="F80:F81"/>
    <mergeCell ref="G80:G81"/>
    <mergeCell ref="O80:O81"/>
    <mergeCell ref="E82:E83"/>
    <mergeCell ref="F82:F83"/>
    <mergeCell ref="G82:G83"/>
    <mergeCell ref="O82:O83"/>
    <mergeCell ref="C134:C147"/>
    <mergeCell ref="E92:E93"/>
    <mergeCell ref="F92:F93"/>
    <mergeCell ref="G92:G93"/>
    <mergeCell ref="O92:O93"/>
    <mergeCell ref="C104:C117"/>
    <mergeCell ref="C119:C132"/>
    <mergeCell ref="E88:E89"/>
    <mergeCell ref="F88:F89"/>
    <mergeCell ref="G88:G89"/>
    <mergeCell ref="O88:O89"/>
    <mergeCell ref="E90:E91"/>
    <mergeCell ref="F90:F91"/>
    <mergeCell ref="G90:G91"/>
    <mergeCell ref="O90:O91"/>
  </mergeCells>
  <conditionalFormatting sqref="L76:L102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H76:H102">
    <cfRule type="cellIs" dxfId="4" priority="2" operator="lessThan">
      <formula>0</formula>
    </cfRule>
  </conditionalFormatting>
  <conditionalFormatting sqref="L68:JA68 L46:AG47 AP46:JA47">
    <cfRule type="cellIs" dxfId="3" priority="1" operator="lessThan">
      <formula>$F46</formula>
    </cfRule>
  </conditionalFormatting>
  <conditionalFormatting sqref="AP42:AT42 BD42:BG42 BQ42:JA42 L42:W42 AP43:JA45 P39:W41 IU48:JA67">
    <cfRule type="cellIs" dxfId="2" priority="5" operator="lessThan">
      <formula>#REF!</formula>
    </cfRule>
  </conditionalFormatting>
  <conditionalFormatting sqref="AA39:AC39">
    <cfRule type="cellIs" dxfId="1" priority="6" operator="greaterThan">
      <formula>$AA$40</formula>
    </cfRule>
    <cfRule type="cellIs" dxfId="0" priority="7" operator="lessThan">
      <formula>AA$40</formula>
    </cfRule>
  </conditionalFormatting>
  <dataValidations count="3">
    <dataValidation type="list" allowBlank="1" showInputMessage="1" showErrorMessage="1" sqref="AA11:AC11 V12:V38" xr:uid="{00000000-0002-0000-0000-000000000000}">
      <formula1>$E$119:$U$119</formula1>
    </dataValidation>
    <dataValidation type="list" allowBlank="1" showInputMessage="1" showErrorMessage="1" sqref="I46:I47 I68" xr:uid="{00000000-0002-0000-0000-000001000000}">
      <formula1>$E$104:$T$104</formula1>
    </dataValidation>
    <dataValidation type="list" allowBlank="1" showInputMessage="1" showErrorMessage="1" sqref="W12:W38 J46:J47 J68" xr:uid="{00000000-0002-0000-0000-000002000000}">
      <formula1>$D$105:$D$117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Germa, Morgan</cp:lastModifiedBy>
  <dcterms:created xsi:type="dcterms:W3CDTF">2017-03-22T15:25:13Z</dcterms:created>
  <dcterms:modified xsi:type="dcterms:W3CDTF">2021-09-08T06:30:31Z</dcterms:modified>
</cp:coreProperties>
</file>