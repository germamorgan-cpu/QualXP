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\Desktop\qualxp\Excel\"/>
    </mc:Choice>
  </mc:AlternateContent>
  <bookViews>
    <workbookView xWindow="120" yWindow="90" windowWidth="25440" windowHeight="12330"/>
  </bookViews>
  <sheets>
    <sheet name="validation de nettoyage" sheetId="1" r:id="rId1"/>
  </sheets>
  <externalReferences>
    <externalReference r:id="rId2"/>
  </externalReferences>
  <definedNames>
    <definedName name="ANALYTES">'[1]validation de méthode'!$AD$6:$AD$461</definedName>
  </definedNames>
  <calcPr calcId="152511"/>
</workbook>
</file>

<file path=xl/calcChain.xml><?xml version="1.0" encoding="utf-8"?>
<calcChain xmlns="http://schemas.openxmlformats.org/spreadsheetml/2006/main">
  <c r="C107" i="1" l="1"/>
  <c r="C86" i="1"/>
  <c r="C87" i="1" s="1"/>
  <c r="K8" i="1" l="1"/>
  <c r="K9" i="1"/>
  <c r="K10" i="1"/>
  <c r="K11" i="1"/>
  <c r="G68" i="1" s="1"/>
  <c r="K12" i="1"/>
  <c r="D69" i="1" s="1"/>
  <c r="F45" i="1"/>
  <c r="F46" i="1"/>
  <c r="F47" i="1"/>
  <c r="F65" i="1" s="1"/>
  <c r="F48" i="1"/>
  <c r="G69" i="1" s="1"/>
  <c r="F49" i="1"/>
  <c r="E65" i="1"/>
  <c r="H65" i="1"/>
  <c r="D66" i="1"/>
  <c r="H66" i="1"/>
  <c r="G67" i="1"/>
  <c r="E69" i="1"/>
  <c r="H69" i="1"/>
  <c r="I74" i="1"/>
  <c r="J74" i="1" s="1"/>
  <c r="K74" i="1" s="1"/>
  <c r="I75" i="1"/>
  <c r="J75" i="1" s="1"/>
  <c r="K75" i="1" s="1"/>
  <c r="I76" i="1"/>
  <c r="J76" i="1"/>
  <c r="K76" i="1" s="1"/>
  <c r="I77" i="1"/>
  <c r="J77" i="1" s="1"/>
  <c r="K77" i="1" s="1"/>
  <c r="I78" i="1"/>
  <c r="J78" i="1" s="1"/>
  <c r="K78" i="1" s="1"/>
  <c r="I79" i="1"/>
  <c r="J79" i="1" s="1"/>
  <c r="K79" i="1" s="1"/>
  <c r="H92" i="1"/>
  <c r="C97" i="1"/>
  <c r="C98" i="1"/>
  <c r="H102" i="1"/>
  <c r="C108" i="1"/>
  <c r="C109" i="1" s="1"/>
  <c r="C110" i="1" s="1"/>
  <c r="H112" i="1"/>
  <c r="D67" i="1" l="1"/>
  <c r="G66" i="1"/>
  <c r="E66" i="1"/>
  <c r="F68" i="1"/>
  <c r="G65" i="1"/>
  <c r="D65" i="1"/>
  <c r="K80" i="1"/>
  <c r="K81" i="1" s="1"/>
  <c r="J80" i="1"/>
  <c r="J81" i="1" s="1"/>
  <c r="J82" i="1" s="1"/>
  <c r="K82" i="1" s="1"/>
  <c r="C88" i="1" s="1"/>
  <c r="C99" i="1"/>
  <c r="E68" i="1"/>
  <c r="H68" i="1"/>
  <c r="D68" i="1"/>
  <c r="E67" i="1"/>
  <c r="F66" i="1"/>
  <c r="F67" i="1"/>
  <c r="F69" i="1"/>
  <c r="H67" i="1"/>
  <c r="C111" i="1" l="1"/>
  <c r="C112" i="1" s="1"/>
  <c r="C89" i="1"/>
  <c r="H89" i="1" s="1"/>
  <c r="C100" i="1"/>
  <c r="C101" i="1" s="1"/>
  <c r="I99" i="1" l="1"/>
  <c r="I100" i="1" s="1"/>
  <c r="H99" i="1"/>
  <c r="H100" i="1" s="1"/>
  <c r="I89" i="1"/>
  <c r="I90" i="1" s="1"/>
  <c r="H90" i="1"/>
  <c r="I109" i="1"/>
  <c r="I110" i="1" s="1"/>
  <c r="H109" i="1"/>
  <c r="H110" i="1" s="1"/>
</calcChain>
</file>

<file path=xl/sharedStrings.xml><?xml version="1.0" encoding="utf-8"?>
<sst xmlns="http://schemas.openxmlformats.org/spreadsheetml/2006/main" count="261" uniqueCount="142">
  <si>
    <t>PPM</t>
  </si>
  <si>
    <t>LOQ de la méthode</t>
  </si>
  <si>
    <t>mg/m²</t>
  </si>
  <si>
    <t>MACO/m²</t>
  </si>
  <si>
    <t>LOD de la méthode</t>
  </si>
  <si>
    <t>m²</t>
  </si>
  <si>
    <t>Surface</t>
  </si>
  <si>
    <t>Quantité mini</t>
  </si>
  <si>
    <t>mg</t>
  </si>
  <si>
    <t>MACO</t>
  </si>
  <si>
    <t>mg/ml</t>
  </si>
  <si>
    <t>Concentration dans le solvant</t>
  </si>
  <si>
    <t>mg/g</t>
  </si>
  <si>
    <t>conc max ds B</t>
  </si>
  <si>
    <t>ml</t>
  </si>
  <si>
    <t>Vol d'extraction</t>
  </si>
  <si>
    <t>oral</t>
  </si>
  <si>
    <t>Facteur de S</t>
  </si>
  <si>
    <t>%</t>
  </si>
  <si>
    <t>Taux de récupération</t>
  </si>
  <si>
    <t>MTD/R</t>
  </si>
  <si>
    <t>méthode Swabbing</t>
  </si>
  <si>
    <t>mg/kg</t>
  </si>
  <si>
    <t>DL50</t>
  </si>
  <si>
    <t>METHODE 3 : DOSE MINI JOURNALIERE</t>
  </si>
  <si>
    <t>concentration maxi dans B</t>
  </si>
  <si>
    <t xml:space="preserve">Conc mini </t>
  </si>
  <si>
    <t xml:space="preserve">METHODE 2 : </t>
  </si>
  <si>
    <t>PPP=plus petite production</t>
  </si>
  <si>
    <t>remarque : pas besoin de facteur de sécurité</t>
  </si>
  <si>
    <t>Volume d'extraction</t>
  </si>
  <si>
    <t>g</t>
  </si>
  <si>
    <t>PPP*masse</t>
  </si>
  <si>
    <t>METHODE  1 : Règle des 10 PPM</t>
  </si>
  <si>
    <t>CALCULS MACO</t>
  </si>
  <si>
    <t>TOTAL S</t>
  </si>
  <si>
    <t>majoration 5%</t>
  </si>
  <si>
    <t>Somme</t>
  </si>
  <si>
    <t>Cylindre</t>
  </si>
  <si>
    <t>MAN</t>
  </si>
  <si>
    <t>Canule de remplissage</t>
  </si>
  <si>
    <t>Tuyau D</t>
  </si>
  <si>
    <t>Pompe</t>
  </si>
  <si>
    <t>NEP</t>
  </si>
  <si>
    <t>Cuve mobile</t>
  </si>
  <si>
    <t>Filtre inox</t>
  </si>
  <si>
    <t>MELANGEUR</t>
  </si>
  <si>
    <t>S en m²</t>
  </si>
  <si>
    <t>S en mm²</t>
  </si>
  <si>
    <t>Total S (mm)</t>
  </si>
  <si>
    <t>quantité</t>
  </si>
  <si>
    <t>longueur (mm)</t>
  </si>
  <si>
    <t>diametre (mm)</t>
  </si>
  <si>
    <t>Forme</t>
  </si>
  <si>
    <t>Process net</t>
  </si>
  <si>
    <t>Equipement</t>
  </si>
  <si>
    <t>Notez le croisement entre produit et équipement worst case</t>
  </si>
  <si>
    <t>X</t>
  </si>
  <si>
    <t>e</t>
  </si>
  <si>
    <t>d</t>
  </si>
  <si>
    <t>c</t>
  </si>
  <si>
    <t>b</t>
  </si>
  <si>
    <t>a</t>
  </si>
  <si>
    <t>Produit</t>
  </si>
  <si>
    <t>Eq5</t>
  </si>
  <si>
    <t>Eq4</t>
  </si>
  <si>
    <t>Eq3</t>
  </si>
  <si>
    <t>Eq2</t>
  </si>
  <si>
    <t>Eq1</t>
  </si>
  <si>
    <t>equipement</t>
  </si>
  <si>
    <t>matrice produit/equipement</t>
  </si>
  <si>
    <t>REGROUPAGE</t>
  </si>
  <si>
    <t>Faible accumulation de produit</t>
  </si>
  <si>
    <t>Importante accumulation de produit</t>
  </si>
  <si>
    <t>Très importante accumulation de produit</t>
  </si>
  <si>
    <t>Classement des zones d’accumulation de produit</t>
  </si>
  <si>
    <t>Il n’existe pas de joints, coudes/angles, volume mort, piquage en verre. Immersion complète</t>
  </si>
  <si>
    <t>OU Il existe des joints, coudes/angles, volume mort, piquage en verre. Immersion complète</t>
  </si>
  <si>
    <t>Il n’existe pas de joints, coudes/angles, volume mort, piquage en verre. Immersion partielle et parties non immergées accessibles</t>
  </si>
  <si>
    <t>Il existe des joints, coudes/angles, volume mort, piquage en verre. Immersion partielle et parties non immergées.</t>
  </si>
  <si>
    <t>Classement de difficulté des nettoyages des éléments (accessibilité)</t>
  </si>
  <si>
    <t>Eq 5</t>
  </si>
  <si>
    <t>Eq 4</t>
  </si>
  <si>
    <t>Eq 3</t>
  </si>
  <si>
    <t>Eq 2</t>
  </si>
  <si>
    <t>Eq 1</t>
  </si>
  <si>
    <t>matériel</t>
  </si>
  <si>
    <t>worst case</t>
  </si>
  <si>
    <t>accumulation</t>
  </si>
  <si>
    <t>accessibilité</t>
  </si>
  <si>
    <t>critère</t>
  </si>
  <si>
    <t>• Calcul de la criticité globale.</t>
  </si>
  <si>
    <t>• Définition de la criticité accumulation produit et nettoyabilité.</t>
  </si>
  <si>
    <t>• Découpage du matériel en zones et éléments faisant partie de ces zones.</t>
  </si>
  <si>
    <t>La réalisation d’une telle étude de criticité s’effectue conjointement avec les opérateurs, et peut être résumée en trois étapes :</t>
  </si>
  <si>
    <r>
      <t xml:space="preserve">actif ou produit, il est possible de déterminer pour l’équipement des </t>
    </r>
    <r>
      <rPr>
        <u/>
        <sz val="10"/>
        <rFont val="Arial"/>
        <family val="2"/>
      </rPr>
      <t>zones critiques</t>
    </r>
  </si>
  <si>
    <t>Tout comme pour la détermination d’un pire des cas en terme de nettoyabilité d’un principe</t>
  </si>
  <si>
    <t>CRITICITE DU MATERIEL</t>
  </si>
  <si>
    <t>&lt; 200mg/kg</t>
  </si>
  <si>
    <t>200&lt;DL50&lt;1 000 mg/kg</t>
  </si>
  <si>
    <t>le DL50 est indiqué dans la fiche de sécurité.</t>
  </si>
  <si>
    <t>&gt;1 000 mg/kg ou excipient</t>
  </si>
  <si>
    <t>Très toxique</t>
  </si>
  <si>
    <t>Toxique</t>
  </si>
  <si>
    <t>Nocive</t>
  </si>
  <si>
    <t>la toxicité est indiqué dans la fiche de sécurité.</t>
  </si>
  <si>
    <t>Non toxique</t>
  </si>
  <si>
    <t>Toxicité</t>
  </si>
  <si>
    <t>Difficilement nettoyable</t>
  </si>
  <si>
    <t>Moyennement nettoyable</t>
  </si>
  <si>
    <t>repose sur un avis des opérateurs</t>
  </si>
  <si>
    <t>Facilement nettoyable</t>
  </si>
  <si>
    <t>Nettoyabilité</t>
  </si>
  <si>
    <t>Très volatile</t>
  </si>
  <si>
    <t>Volatile</t>
  </si>
  <si>
    <t>Un produit volatile est plus difficile à nettoyer</t>
  </si>
  <si>
    <t>Non volatile</t>
  </si>
  <si>
    <t>Volatilité</t>
  </si>
  <si>
    <t>la solubilité est indiqué dans la fiche de sécurité.</t>
  </si>
  <si>
    <t>Insoluble dans le solvant</t>
  </si>
  <si>
    <t>Solubilité du traceur dans le solvant de nettoyage à une température donnée (ex dans l’alcool)</t>
  </si>
  <si>
    <t>Soluble dans le solvant</t>
  </si>
  <si>
    <t>Solubilité</t>
  </si>
  <si>
    <t>Principe actif</t>
  </si>
  <si>
    <t>Le type indique s’il s’agit d’un excipient ou d’un principe actif par exemple</t>
  </si>
  <si>
    <t>Excipient</t>
  </si>
  <si>
    <t>Type</t>
  </si>
  <si>
    <t>Poudre et cristaux</t>
  </si>
  <si>
    <t>les formes poudres ou cristaux sont généralement plus difficiles à nettoyer que les liquides.</t>
  </si>
  <si>
    <t>Liquide</t>
  </si>
  <si>
    <t>description</t>
  </si>
  <si>
    <t>coefficient</t>
  </si>
  <si>
    <t>Description</t>
  </si>
  <si>
    <t>volatilité</t>
  </si>
  <si>
    <t>nettoyabilité</t>
  </si>
  <si>
    <t>type</t>
  </si>
  <si>
    <t>toxicité</t>
  </si>
  <si>
    <t>solubilité</t>
  </si>
  <si>
    <t>Critères</t>
  </si>
  <si>
    <t>CRITICITE DU PRODUIT</t>
  </si>
  <si>
    <t>REGROUPEMENT EQUIPEMENTS/PRODUITS</t>
  </si>
  <si>
    <t>worst case produit correspond au produit ayant le plus grand coefficient et eventuellement au produit le plus toxique.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</si>
</sst>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164" formatCode="0.0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i/>
      <u/>
      <sz val="10"/>
      <color rgb="FFFF0000"/>
      <name val="Arial"/>
      <family val="2"/>
    </font>
    <font>
      <u/>
      <sz val="10"/>
      <name val="Arial"/>
      <family val="2"/>
    </font>
    <font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33">
    <xf numFmtId="0" fontId="0" fillId="0" borderId="0" xfId="0"/>
    <xf numFmtId="0" fontId="2" fillId="0" borderId="0" xfId="1"/>
    <xf numFmtId="0" fontId="0" fillId="2" borderId="0" xfId="0" applyFill="1"/>
    <xf numFmtId="0" fontId="0" fillId="0" borderId="1" xfId="0" applyFill="1" applyBorder="1" applyAlignment="1">
      <alignment horizontal="center"/>
    </xf>
    <xf numFmtId="0" fontId="0" fillId="2" borderId="0" xfId="0" applyFill="1" applyAlignment="1">
      <alignment horizontal="right"/>
    </xf>
    <xf numFmtId="164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0" fillId="2" borderId="0" xfId="0" applyFont="1" applyFill="1"/>
    <xf numFmtId="10" fontId="0" fillId="2" borderId="0" xfId="0" applyNumberFormat="1" applyFill="1"/>
    <xf numFmtId="0" fontId="1" fillId="2" borderId="0" xfId="0" applyFont="1" applyFill="1"/>
    <xf numFmtId="0" fontId="0" fillId="4" borderId="0" xfId="0" applyFill="1"/>
    <xf numFmtId="0" fontId="0" fillId="5" borderId="0" xfId="0" applyFill="1" applyAlignment="1">
      <alignment horizontal="right"/>
    </xf>
    <xf numFmtId="0" fontId="4" fillId="4" borderId="0" xfId="0" applyFont="1" applyFill="1"/>
    <xf numFmtId="0" fontId="0" fillId="4" borderId="0" xfId="0" applyFill="1" applyAlignment="1">
      <alignment horizontal="right"/>
    </xf>
    <xf numFmtId="0" fontId="5" fillId="0" borderId="1" xfId="0" applyFont="1" applyFill="1" applyBorder="1" applyAlignment="1">
      <alignment horizontal="center"/>
    </xf>
    <xf numFmtId="10" fontId="0" fillId="4" borderId="0" xfId="0" applyNumberFormat="1" applyFill="1"/>
    <xf numFmtId="0" fontId="1" fillId="4" borderId="0" xfId="0" applyFont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6" borderId="0" xfId="0" applyFont="1" applyFill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/>
    <xf numFmtId="0" fontId="1" fillId="2" borderId="0" xfId="0" applyFont="1" applyFill="1" applyAlignment="1">
      <alignment horizontal="center"/>
    </xf>
    <xf numFmtId="0" fontId="0" fillId="0" borderId="0" xfId="0" applyFont="1"/>
    <xf numFmtId="0" fontId="2" fillId="0" borderId="4" xfId="1" applyBorder="1"/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1" applyFont="1" applyFill="1" applyBorder="1" applyAlignment="1">
      <alignment horizontal="left"/>
    </xf>
    <xf numFmtId="0" fontId="2" fillId="0" borderId="0" xfId="1" applyFill="1" applyBorder="1" applyAlignment="1">
      <alignment horizontal="center"/>
    </xf>
    <xf numFmtId="0" fontId="2" fillId="0" borderId="0" xfId="1" applyBorder="1"/>
    <xf numFmtId="0" fontId="2" fillId="7" borderId="5" xfId="1" applyFill="1" applyBorder="1" applyAlignment="1">
      <alignment horizontal="center"/>
    </xf>
    <xf numFmtId="0" fontId="2" fillId="7" borderId="6" xfId="1" applyFill="1" applyBorder="1" applyAlignment="1">
      <alignment horizontal="center"/>
    </xf>
    <xf numFmtId="0" fontId="2" fillId="7" borderId="7" xfId="1" applyFill="1" applyBorder="1" applyAlignment="1">
      <alignment horizontal="center"/>
    </xf>
    <xf numFmtId="0" fontId="2" fillId="3" borderId="8" xfId="1" applyFill="1" applyBorder="1" applyAlignment="1">
      <alignment horizontal="center"/>
    </xf>
    <xf numFmtId="0" fontId="2" fillId="0" borderId="5" xfId="1" applyFill="1" applyBorder="1" applyAlignment="1">
      <alignment horizontal="center"/>
    </xf>
    <xf numFmtId="0" fontId="2" fillId="0" borderId="6" xfId="1" applyFill="1" applyBorder="1" applyAlignment="1">
      <alignment horizontal="center"/>
    </xf>
    <xf numFmtId="0" fontId="2" fillId="0" borderId="7" xfId="1" applyFill="1" applyBorder="1" applyAlignment="1">
      <alignment horizontal="center"/>
    </xf>
    <xf numFmtId="0" fontId="2" fillId="7" borderId="9" xfId="1" applyFill="1" applyBorder="1" applyAlignment="1">
      <alignment horizontal="center"/>
    </xf>
    <xf numFmtId="0" fontId="2" fillId="7" borderId="1" xfId="1" applyFill="1" applyBorder="1" applyAlignment="1">
      <alignment horizontal="center"/>
    </xf>
    <xf numFmtId="0" fontId="2" fillId="7" borderId="10" xfId="1" applyFill="1" applyBorder="1" applyAlignment="1">
      <alignment horizontal="center"/>
    </xf>
    <xf numFmtId="0" fontId="2" fillId="3" borderId="11" xfId="1" applyFill="1" applyBorder="1" applyAlignment="1">
      <alignment horizontal="center"/>
    </xf>
    <xf numFmtId="0" fontId="2" fillId="0" borderId="9" xfId="1" applyFill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2" fillId="0" borderId="10" xfId="1" applyFill="1" applyBorder="1" applyAlignment="1">
      <alignment horizontal="center"/>
    </xf>
    <xf numFmtId="0" fontId="2" fillId="8" borderId="11" xfId="1" applyFill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8" borderId="15" xfId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left" vertical="center"/>
    </xf>
    <xf numFmtId="0" fontId="9" fillId="0" borderId="0" xfId="1" applyFont="1"/>
    <xf numFmtId="0" fontId="6" fillId="0" borderId="0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2" fillId="0" borderId="0" xfId="1" applyFill="1" applyBorder="1"/>
    <xf numFmtId="0" fontId="2" fillId="0" borderId="18" xfId="1" applyBorder="1" applyAlignment="1">
      <alignment horizontal="center"/>
    </xf>
    <xf numFmtId="0" fontId="2" fillId="3" borderId="19" xfId="1" applyFill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3" borderId="21" xfId="1" applyFill="1" applyBorder="1" applyAlignment="1">
      <alignment horizontal="center"/>
    </xf>
    <xf numFmtId="0" fontId="2" fillId="0" borderId="20" xfId="1" applyFill="1" applyBorder="1" applyAlignment="1">
      <alignment horizontal="center"/>
    </xf>
    <xf numFmtId="0" fontId="2" fillId="0" borderId="1" xfId="1" applyFill="1" applyBorder="1"/>
    <xf numFmtId="0" fontId="2" fillId="0" borderId="10" xfId="1" applyFill="1" applyBorder="1"/>
    <xf numFmtId="0" fontId="2" fillId="8" borderId="21" xfId="1" applyFill="1" applyBorder="1" applyAlignment="1">
      <alignment horizontal="center"/>
    </xf>
    <xf numFmtId="0" fontId="2" fillId="10" borderId="22" xfId="1" applyFont="1" applyFill="1" applyBorder="1" applyAlignment="1">
      <alignment horizontal="center" vertical="center"/>
    </xf>
    <xf numFmtId="0" fontId="2" fillId="8" borderId="23" xfId="1" applyFill="1" applyBorder="1" applyAlignment="1">
      <alignment horizontal="center"/>
    </xf>
    <xf numFmtId="0" fontId="2" fillId="0" borderId="0" xfId="1" applyFont="1" applyBorder="1"/>
    <xf numFmtId="0" fontId="9" fillId="0" borderId="0" xfId="1" applyFont="1" applyFill="1" applyBorder="1"/>
    <xf numFmtId="0" fontId="6" fillId="0" borderId="1" xfId="0" applyFont="1" applyBorder="1" applyAlignment="1">
      <alignment horizontal="center" vertical="top" wrapText="1"/>
    </xf>
    <xf numFmtId="0" fontId="2" fillId="0" borderId="0" xfId="1" applyBorder="1" applyAlignment="1">
      <alignment horizontal="center"/>
    </xf>
    <xf numFmtId="0" fontId="6" fillId="0" borderId="0" xfId="0" applyFont="1"/>
    <xf numFmtId="0" fontId="6" fillId="0" borderId="24" xfId="0" applyFont="1" applyBorder="1" applyAlignment="1">
      <alignment vertical="top" wrapText="1"/>
    </xf>
    <xf numFmtId="0" fontId="6" fillId="0" borderId="24" xfId="0" applyFont="1" applyBorder="1" applyAlignment="1">
      <alignment horizontal="center" vertical="top" wrapText="1"/>
    </xf>
    <xf numFmtId="0" fontId="11" fillId="0" borderId="0" xfId="1" applyFont="1" applyBorder="1" applyAlignment="1">
      <alignment horizontal="left"/>
    </xf>
    <xf numFmtId="0" fontId="6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2" fillId="0" borderId="19" xfId="1" applyBorder="1" applyAlignment="1">
      <alignment horizontal="center"/>
    </xf>
    <xf numFmtId="0" fontId="2" fillId="3" borderId="7" xfId="1" applyFill="1" applyBorder="1" applyAlignment="1">
      <alignment horizontal="center"/>
    </xf>
    <xf numFmtId="0" fontId="2" fillId="0" borderId="21" xfId="1" applyBorder="1" applyAlignment="1">
      <alignment horizontal="center"/>
    </xf>
    <xf numFmtId="0" fontId="2" fillId="3" borderId="10" xfId="1" applyFill="1" applyBorder="1" applyAlignment="1">
      <alignment horizontal="center"/>
    </xf>
    <xf numFmtId="0" fontId="8" fillId="0" borderId="28" xfId="0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0" fontId="2" fillId="0" borderId="21" xfId="1" applyFill="1" applyBorder="1" applyAlignment="1">
      <alignment horizontal="center"/>
    </xf>
    <xf numFmtId="0" fontId="2" fillId="8" borderId="10" xfId="1" applyFill="1" applyBorder="1" applyAlignment="1">
      <alignment horizontal="center"/>
    </xf>
    <xf numFmtId="0" fontId="2" fillId="10" borderId="23" xfId="1" applyFont="1" applyFill="1" applyBorder="1" applyAlignment="1">
      <alignment horizontal="center" vertical="center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8" borderId="14" xfId="1" applyFill="1" applyBorder="1" applyAlignment="1">
      <alignment horizontal="center"/>
    </xf>
    <xf numFmtId="0" fontId="7" fillId="0" borderId="0" xfId="1" applyFont="1"/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0" fontId="0" fillId="11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9" borderId="1" xfId="1" applyFill="1" applyBorder="1" applyAlignment="1">
      <alignment horizontal="left"/>
    </xf>
    <xf numFmtId="0" fontId="2" fillId="0" borderId="1" xfId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2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2" fillId="9" borderId="1" xfId="1" applyFont="1" applyFill="1" applyBorder="1" applyAlignment="1">
      <alignment horizontal="left"/>
    </xf>
    <xf numFmtId="0" fontId="2" fillId="0" borderId="1" xfId="1" applyFont="1" applyFill="1" applyBorder="1" applyAlignment="1">
      <alignment horizontal="center" vertical="center"/>
    </xf>
    <xf numFmtId="0" fontId="2" fillId="0" borderId="17" xfId="1" applyFont="1" applyBorder="1" applyAlignment="1">
      <alignment horizontal="left"/>
    </xf>
    <xf numFmtId="0" fontId="2" fillId="0" borderId="16" xfId="1" applyFont="1" applyBorder="1" applyAlignment="1">
      <alignment horizontal="left"/>
    </xf>
  </cellXfs>
  <cellStyles count="7">
    <cellStyle name="Euro" xfId="2"/>
    <cellStyle name="Normal" xfId="0" builtinId="0"/>
    <cellStyle name="Normal 2" xfId="1"/>
    <cellStyle name="Normal 2 2" xfId="3"/>
    <cellStyle name="Normal 2 3" xfId="4"/>
    <cellStyle name="Normal 2 3 2" xfId="5"/>
    <cellStyle name="Normal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QUETTE%20validation%20biologie%20m&#233;dicale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portée flexible"/>
      <sheetName val="validation de méthode"/>
      <sheetName val="Justesse et fidélité"/>
      <sheetName val="correlation XY"/>
      <sheetName val="étalonnage X"/>
    </sheetNames>
    <sheetDataSet>
      <sheetData sheetId="0" refreshError="1"/>
      <sheetData sheetId="1" refreshError="1"/>
      <sheetData sheetId="2">
        <row r="6">
          <cell r="AD6" t="str">
            <v>SUBSTRATS</v>
          </cell>
        </row>
        <row r="7">
          <cell r="AD7" t="str">
            <v>Acide urique</v>
          </cell>
        </row>
        <row r="8">
          <cell r="AD8" t="str">
            <v>Ammonium</v>
          </cell>
        </row>
        <row r="9">
          <cell r="AD9" t="str">
            <v>CO2</v>
          </cell>
        </row>
        <row r="10">
          <cell r="AD10" t="str">
            <v>Bilirubine Totale</v>
          </cell>
        </row>
        <row r="11">
          <cell r="AD11" t="str">
            <v>Calcium ionisé</v>
          </cell>
        </row>
        <row r="12">
          <cell r="AD12" t="str">
            <v>Calcium total</v>
          </cell>
        </row>
        <row r="13">
          <cell r="AD13" t="str">
            <v>Chlore</v>
          </cell>
        </row>
        <row r="14">
          <cell r="AD14" t="str">
            <v>Cholesterol</v>
          </cell>
        </row>
        <row r="15">
          <cell r="AD15" t="str">
            <v>HDL</v>
          </cell>
        </row>
        <row r="16">
          <cell r="AD16" t="str">
            <v>Creatinine</v>
          </cell>
        </row>
        <row r="17">
          <cell r="AD17" t="str">
            <v>Fer</v>
          </cell>
        </row>
        <row r="18">
          <cell r="AD18" t="str">
            <v>Ferritine</v>
          </cell>
        </row>
        <row r="19">
          <cell r="AD19" t="str">
            <v>Folates</v>
          </cell>
        </row>
        <row r="20">
          <cell r="AD20" t="str">
            <v>Fructosamine</v>
          </cell>
        </row>
        <row r="21">
          <cell r="AD21" t="str">
            <v>Glucose</v>
          </cell>
        </row>
        <row r="22">
          <cell r="AD22" t="str">
            <v>HbA1c</v>
          </cell>
        </row>
        <row r="23">
          <cell r="AD23" t="str">
            <v>Lactate</v>
          </cell>
        </row>
        <row r="24">
          <cell r="AD24" t="str">
            <v>Magnesium</v>
          </cell>
        </row>
        <row r="25">
          <cell r="AD25" t="str">
            <v>Phosphate</v>
          </cell>
        </row>
        <row r="26">
          <cell r="AD26" t="str">
            <v>Potassium</v>
          </cell>
        </row>
        <row r="27">
          <cell r="AD27" t="str">
            <v>Protéines totales</v>
          </cell>
        </row>
        <row r="28">
          <cell r="AD28" t="str">
            <v>Sodium</v>
          </cell>
        </row>
        <row r="29">
          <cell r="AD29" t="str">
            <v>Triglycérides</v>
          </cell>
        </row>
        <row r="30">
          <cell r="AD30" t="str">
            <v>Urée</v>
          </cell>
        </row>
        <row r="32">
          <cell r="AD32" t="str">
            <v>SUBSTRATS URINAIRES</v>
          </cell>
        </row>
        <row r="33">
          <cell r="AD33" t="str">
            <v>Acide urique U</v>
          </cell>
        </row>
        <row r="34">
          <cell r="AD34" t="str">
            <v>Calcium U</v>
          </cell>
        </row>
        <row r="35">
          <cell r="AD35" t="str">
            <v>Chlore U</v>
          </cell>
        </row>
        <row r="36">
          <cell r="AD36" t="str">
            <v>Créatinine U</v>
          </cell>
        </row>
        <row r="37">
          <cell r="AD37" t="str">
            <v>Glucose U</v>
          </cell>
        </row>
        <row r="38">
          <cell r="AD38" t="str">
            <v>Magnesium U</v>
          </cell>
        </row>
        <row r="39">
          <cell r="AD39" t="str">
            <v>MicroAlb U</v>
          </cell>
        </row>
        <row r="40">
          <cell r="AD40" t="str">
            <v>Phosphate U</v>
          </cell>
        </row>
        <row r="41">
          <cell r="AD41" t="str">
            <v>Potassium U</v>
          </cell>
        </row>
        <row r="42">
          <cell r="AD42" t="str">
            <v>Protéines U</v>
          </cell>
        </row>
        <row r="43">
          <cell r="AD43" t="str">
            <v>Sodium U</v>
          </cell>
        </row>
        <row r="44">
          <cell r="AD44" t="str">
            <v>Urée U</v>
          </cell>
        </row>
        <row r="46">
          <cell r="AD46" t="str">
            <v>ENZYMES</v>
          </cell>
        </row>
        <row r="47">
          <cell r="AD47" t="str">
            <v>5'Nu</v>
          </cell>
        </row>
        <row r="48">
          <cell r="AD48" t="str">
            <v>a-Amylase</v>
          </cell>
        </row>
        <row r="49">
          <cell r="AD49" t="str">
            <v>ALAT</v>
          </cell>
        </row>
        <row r="50">
          <cell r="AD50" t="str">
            <v>ASAT</v>
          </cell>
        </row>
        <row r="51">
          <cell r="AD51" t="str">
            <v>CK</v>
          </cell>
        </row>
        <row r="52">
          <cell r="AD52" t="str">
            <v>GGT</v>
          </cell>
        </row>
        <row r="53">
          <cell r="AD53" t="str">
            <v>LDH</v>
          </cell>
        </row>
        <row r="54">
          <cell r="AD54" t="str">
            <v>Lipase</v>
          </cell>
        </row>
        <row r="55">
          <cell r="AD55" t="str">
            <v>PAL</v>
          </cell>
        </row>
        <row r="57">
          <cell r="AD57" t="str">
            <v>PROTEINES SPECIFIQUES</v>
          </cell>
        </row>
        <row r="58">
          <cell r="AD58" t="str">
            <v>a1AT</v>
          </cell>
        </row>
        <row r="59">
          <cell r="AD59" t="str">
            <v>a2-Macroglobuline</v>
          </cell>
        </row>
        <row r="60">
          <cell r="AD60" t="str">
            <v>Albumine</v>
          </cell>
        </row>
        <row r="61">
          <cell r="AD61" t="str">
            <v>ApoA1</v>
          </cell>
        </row>
        <row r="62">
          <cell r="AD62" t="str">
            <v>ApoB</v>
          </cell>
        </row>
        <row r="63">
          <cell r="AD63" t="str">
            <v>b2-Microglobuline</v>
          </cell>
        </row>
        <row r="64">
          <cell r="AD64" t="str">
            <v>Céruléoplasmine</v>
          </cell>
        </row>
        <row r="65">
          <cell r="AD65" t="str">
            <v>C3</v>
          </cell>
        </row>
        <row r="66">
          <cell r="AD66" t="str">
            <v>C4</v>
          </cell>
        </row>
        <row r="67">
          <cell r="AD67" t="str">
            <v>CRP</v>
          </cell>
        </row>
        <row r="68">
          <cell r="AD68" t="str">
            <v>Haptoglobine</v>
          </cell>
        </row>
        <row r="69">
          <cell r="AD69" t="str">
            <v>IgA</v>
          </cell>
        </row>
        <row r="70">
          <cell r="AD70" t="str">
            <v>IgE</v>
          </cell>
        </row>
        <row r="71">
          <cell r="AD71" t="str">
            <v>IgG</v>
          </cell>
        </row>
        <row r="72">
          <cell r="AD72" t="str">
            <v>IgM</v>
          </cell>
        </row>
        <row r="73">
          <cell r="AD73" t="str">
            <v>Oroso</v>
          </cell>
        </row>
        <row r="74">
          <cell r="AD74" t="str">
            <v>PréAlb</v>
          </cell>
        </row>
        <row r="75">
          <cell r="AD75" t="str">
            <v>Transférrine</v>
          </cell>
        </row>
        <row r="77">
          <cell r="AD77" t="str">
            <v>GAZ DU SANG</v>
          </cell>
        </row>
        <row r="78">
          <cell r="AD78" t="str">
            <v>HbCO</v>
          </cell>
        </row>
        <row r="79">
          <cell r="AD79" t="str">
            <v>HbO2</v>
          </cell>
        </row>
        <row r="80">
          <cell r="AD80" t="str">
            <v>metHb</v>
          </cell>
        </row>
        <row r="82">
          <cell r="AD82" t="str">
            <v>pCO2</v>
          </cell>
        </row>
        <row r="83">
          <cell r="AD83" t="str">
            <v>pH (unité)</v>
          </cell>
        </row>
        <row r="84">
          <cell r="AD84" t="str">
            <v>pH (nmol/l)</v>
          </cell>
        </row>
        <row r="85">
          <cell r="AD85" t="str">
            <v>p02</v>
          </cell>
        </row>
        <row r="88">
          <cell r="AD88" t="str">
            <v>MEDICAMENTS</v>
          </cell>
        </row>
        <row r="89">
          <cell r="AD89" t="str">
            <v>Acide Valproïque</v>
          </cell>
        </row>
        <row r="90">
          <cell r="AD90" t="str">
            <v>Amikacine</v>
          </cell>
        </row>
        <row r="91">
          <cell r="AD91" t="str">
            <v>Carbamazépine</v>
          </cell>
        </row>
        <row r="92">
          <cell r="AD92" t="str">
            <v>Digoxine</v>
          </cell>
        </row>
        <row r="93">
          <cell r="AD93" t="str">
            <v>Gentamicine</v>
          </cell>
        </row>
        <row r="94">
          <cell r="AD94" t="str">
            <v>Lithium</v>
          </cell>
        </row>
        <row r="95">
          <cell r="AD95" t="str">
            <v>Méthotrexate</v>
          </cell>
        </row>
        <row r="96">
          <cell r="AD96" t="str">
            <v>Paracétamol</v>
          </cell>
        </row>
        <row r="97">
          <cell r="AD97" t="str">
            <v>Phénobarbital</v>
          </cell>
        </row>
        <row r="98">
          <cell r="AD98" t="str">
            <v>Phénytoïne</v>
          </cell>
        </row>
        <row r="99">
          <cell r="AD99" t="str">
            <v>Salycilates</v>
          </cell>
        </row>
        <row r="100">
          <cell r="AD100" t="str">
            <v>Théophiline</v>
          </cell>
        </row>
        <row r="101">
          <cell r="AD101" t="str">
            <v>Vancomycine</v>
          </cell>
        </row>
        <row r="103">
          <cell r="AD103" t="str">
            <v>MARQUEURS TUMORAUX</v>
          </cell>
        </row>
        <row r="104">
          <cell r="AD104" t="str">
            <v>ACE</v>
          </cell>
        </row>
        <row r="105">
          <cell r="AD105" t="str">
            <v>MEDICAMENTS</v>
          </cell>
        </row>
        <row r="106">
          <cell r="AD106" t="str">
            <v>Acide Valproïque</v>
          </cell>
        </row>
        <row r="107">
          <cell r="AD107" t="str">
            <v>Amikacine</v>
          </cell>
        </row>
        <row r="108">
          <cell r="AD108" t="str">
            <v>Carbamazépine</v>
          </cell>
        </row>
        <row r="109">
          <cell r="AD109" t="str">
            <v>Digoxine</v>
          </cell>
        </row>
        <row r="110">
          <cell r="AD110" t="str">
            <v>Gentamicine</v>
          </cell>
        </row>
        <row r="111">
          <cell r="AD111" t="str">
            <v>Lithium</v>
          </cell>
        </row>
        <row r="112">
          <cell r="AD112" t="str">
            <v>Méthotrexate</v>
          </cell>
        </row>
        <row r="113">
          <cell r="AD113" t="str">
            <v>Paracétamol</v>
          </cell>
        </row>
        <row r="114">
          <cell r="AD114" t="str">
            <v>Phénobarbital</v>
          </cell>
        </row>
        <row r="115">
          <cell r="AD115" t="str">
            <v>Phénytoïne</v>
          </cell>
        </row>
        <row r="116">
          <cell r="AD116" t="str">
            <v>Salycilates</v>
          </cell>
        </row>
        <row r="117">
          <cell r="AD117" t="str">
            <v>Théophiline</v>
          </cell>
        </row>
        <row r="118">
          <cell r="AD118" t="str">
            <v>Vancomycine</v>
          </cell>
        </row>
        <row r="119">
          <cell r="AD119" t="str">
            <v>PTH</v>
          </cell>
        </row>
        <row r="120">
          <cell r="AD120" t="str">
            <v>MARQUEURS TUMORAUX</v>
          </cell>
        </row>
        <row r="121">
          <cell r="AD121" t="str">
            <v>ACE</v>
          </cell>
        </row>
        <row r="122">
          <cell r="AD122" t="str">
            <v>AFP</v>
          </cell>
        </row>
        <row r="123">
          <cell r="AD123" t="str">
            <v>CA125</v>
          </cell>
        </row>
        <row r="124">
          <cell r="AD124" t="str">
            <v>CA15-3</v>
          </cell>
        </row>
        <row r="125">
          <cell r="AD125" t="str">
            <v>CA19-9</v>
          </cell>
        </row>
        <row r="126">
          <cell r="AD126" t="str">
            <v>PSA</v>
          </cell>
        </row>
        <row r="128">
          <cell r="AD128" t="str">
            <v>HORMONES</v>
          </cell>
        </row>
        <row r="129">
          <cell r="AD129" t="str">
            <v>Cortisol</v>
          </cell>
        </row>
        <row r="130">
          <cell r="AD130" t="str">
            <v>E2</v>
          </cell>
        </row>
        <row r="131">
          <cell r="AD131" t="str">
            <v>FSH</v>
          </cell>
        </row>
        <row r="132">
          <cell r="AD132" t="str">
            <v>GH</v>
          </cell>
        </row>
        <row r="133">
          <cell r="AD133" t="str">
            <v>HCG B</v>
          </cell>
        </row>
        <row r="134">
          <cell r="AD134" t="str">
            <v>Insuline</v>
          </cell>
        </row>
        <row r="135">
          <cell r="AD135" t="str">
            <v>LH</v>
          </cell>
        </row>
        <row r="136">
          <cell r="AD136" t="str">
            <v>PTH</v>
          </cell>
        </row>
        <row r="137">
          <cell r="AD137" t="str">
            <v>Peptide C</v>
          </cell>
        </row>
        <row r="138">
          <cell r="AD138" t="str">
            <v>Progesterone</v>
          </cell>
        </row>
        <row r="139">
          <cell r="AD139" t="str">
            <v>Prolactine</v>
          </cell>
        </row>
        <row r="140">
          <cell r="AD140" t="str">
            <v>FT3</v>
          </cell>
        </row>
        <row r="141">
          <cell r="AD141" t="str">
            <v>FT4</v>
          </cell>
        </row>
        <row r="142">
          <cell r="AD142" t="str">
            <v>Testosterone</v>
          </cell>
        </row>
        <row r="143">
          <cell r="AD143" t="str">
            <v>TSH</v>
          </cell>
        </row>
        <row r="144">
          <cell r="AD144" t="str">
            <v>a-Fetoprotein(non hepatic carcinoma)</v>
          </cell>
        </row>
        <row r="145">
          <cell r="AD145" t="str">
            <v>RICOS</v>
          </cell>
        </row>
        <row r="146">
          <cell r="AD146" t="str">
            <v>Acid phosphatase</v>
          </cell>
        </row>
        <row r="147">
          <cell r="AD147" t="str">
            <v xml:space="preserve">Sang-plasma </v>
          </cell>
        </row>
        <row r="148">
          <cell r="AD148" t="str">
            <v>11-Desoxycortisol S</v>
          </cell>
        </row>
        <row r="149">
          <cell r="AD149" t="str">
            <v>17-Hydroxyprogesterone</v>
          </cell>
        </row>
        <row r="150">
          <cell r="AD150" t="str">
            <v>5' Nucleotidase</v>
          </cell>
        </row>
        <row r="151">
          <cell r="AD151" t="str">
            <v>a1-Acid Glycoprotein</v>
          </cell>
        </row>
        <row r="152">
          <cell r="AD152" t="str">
            <v>a1-Antichymotrypsin</v>
          </cell>
        </row>
        <row r="153">
          <cell r="AD153" t="str">
            <v>a1-Antitrypsin</v>
          </cell>
        </row>
        <row r="154">
          <cell r="AD154" t="str">
            <v>a1-Globulin</v>
          </cell>
        </row>
        <row r="155">
          <cell r="AD155" t="str">
            <v>a2-Antiplasmin</v>
          </cell>
        </row>
        <row r="156">
          <cell r="AD156" t="str">
            <v>a2-Globulins</v>
          </cell>
        </row>
        <row r="157">
          <cell r="AD157" t="str">
            <v>a2-Macroglobulin</v>
          </cell>
        </row>
        <row r="158">
          <cell r="AD158" t="str">
            <v>a-Amylase (ricos)</v>
          </cell>
        </row>
        <row r="159">
          <cell r="AD159" t="str">
            <v>a-Amylase (pancreatic)</v>
          </cell>
        </row>
        <row r="160">
          <cell r="AD160" t="str">
            <v>a-Carotene</v>
          </cell>
        </row>
        <row r="161">
          <cell r="AD161" t="str">
            <v>a-Fetoprotein(non hepatic carcinoma)</v>
          </cell>
        </row>
        <row r="162">
          <cell r="AD162" t="str">
            <v>a-Tocopherol</v>
          </cell>
        </row>
        <row r="163">
          <cell r="AD163" t="str">
            <v>Acid phosphatase</v>
          </cell>
        </row>
        <row r="164">
          <cell r="AD164" t="str">
            <v>Acid phosphatase tartrate-resistant (TR-ACP)</v>
          </cell>
        </row>
        <row r="165">
          <cell r="AD165" t="str">
            <v>Acid phosphatase prostatic activity (PAP)</v>
          </cell>
        </row>
        <row r="166">
          <cell r="AD166" t="str">
            <v>Activated partial thromboplastine time</v>
          </cell>
        </row>
        <row r="167">
          <cell r="AD167" t="str">
            <v>Acyl/free carnitine</v>
          </cell>
        </row>
        <row r="168">
          <cell r="AD168" t="str">
            <v>Adiponectin</v>
          </cell>
        </row>
        <row r="169">
          <cell r="AD169" t="str">
            <v>Adenosine deaminase (ADA)</v>
          </cell>
        </row>
        <row r="170">
          <cell r="AD170" t="str">
            <v>Alanine aminopeptidase</v>
          </cell>
        </row>
        <row r="171">
          <cell r="AD171" t="str">
            <v>Alanine aminotransferase</v>
          </cell>
        </row>
        <row r="172">
          <cell r="AD172" t="str">
            <v>Albumin</v>
          </cell>
        </row>
        <row r="173">
          <cell r="AD173" t="str">
            <v>Aldosterone</v>
          </cell>
        </row>
        <row r="174">
          <cell r="AD174" t="str">
            <v>Alkaline phosphatase</v>
          </cell>
        </row>
        <row r="175">
          <cell r="AD175" t="str">
            <v>Alkaline phosphatase, bone</v>
          </cell>
        </row>
        <row r="176">
          <cell r="AD176" t="str">
            <v>Alkaline phosphatase, liver</v>
          </cell>
        </row>
        <row r="177">
          <cell r="AD177" t="str">
            <v>Alkaline phosphatase, placental</v>
          </cell>
        </row>
        <row r="178">
          <cell r="AD178" t="str">
            <v>Amyloid A</v>
          </cell>
        </row>
        <row r="179">
          <cell r="AD179" t="str">
            <v>Androstendione</v>
          </cell>
        </row>
        <row r="180">
          <cell r="AD180" t="str">
            <v>Androstenedione</v>
          </cell>
        </row>
        <row r="181">
          <cell r="AD181" t="str">
            <v>Angiotensin converting enzyme</v>
          </cell>
        </row>
        <row r="182">
          <cell r="AD182" t="str">
            <v>Antithrombin III</v>
          </cell>
        </row>
        <row r="183">
          <cell r="AD183" t="str">
            <v>Apolipoprotein A1</v>
          </cell>
        </row>
        <row r="184">
          <cell r="AD184" t="str">
            <v>Apolipoprotein B</v>
          </cell>
        </row>
        <row r="185">
          <cell r="AD185" t="str">
            <v>Ascorbic Acid</v>
          </cell>
        </row>
        <row r="186">
          <cell r="AD186" t="str">
            <v>Aspartate aminotransferase</v>
          </cell>
        </row>
        <row r="187">
          <cell r="AD187" t="str">
            <v>b-2-Microglobulin</v>
          </cell>
        </row>
        <row r="188">
          <cell r="AD188" t="str">
            <v>Basophile, count</v>
          </cell>
        </row>
        <row r="189">
          <cell r="AD189" t="str">
            <v>b-Carotene</v>
          </cell>
        </row>
        <row r="190">
          <cell r="AD190" t="str">
            <v>b-Cryptoxantin</v>
          </cell>
        </row>
        <row r="191">
          <cell r="AD191" t="str">
            <v>b-Globulins</v>
          </cell>
        </row>
        <row r="192">
          <cell r="AD192" t="str">
            <v>Bilirubin total</v>
          </cell>
        </row>
        <row r="193">
          <cell r="AD193" t="str">
            <v>Bilirubin conjugated</v>
          </cell>
        </row>
        <row r="194">
          <cell r="AD194" t="str">
            <v>CA 125 antigen</v>
          </cell>
        </row>
        <row r="195">
          <cell r="AD195" t="str">
            <v>CA 15,3 antigen</v>
          </cell>
        </row>
        <row r="196">
          <cell r="AD196" t="str">
            <v>CA 19,9 antigen</v>
          </cell>
        </row>
        <row r="197">
          <cell r="AD197" t="str">
            <v>CA 549 antigen</v>
          </cell>
        </row>
        <row r="198">
          <cell r="AD198" t="str">
            <v>Calcium</v>
          </cell>
        </row>
        <row r="199">
          <cell r="AD199" t="str">
            <v>Carbohydrate deficient transferrin</v>
          </cell>
        </row>
        <row r="200">
          <cell r="AD200" t="str">
            <v>Carcinoembryonic antigen (CEA)</v>
          </cell>
        </row>
        <row r="201">
          <cell r="AD201" t="str">
            <v>CD4 lymphocyte count</v>
          </cell>
        </row>
        <row r="202">
          <cell r="AD202" t="str">
            <v>Ceruloplasmin</v>
          </cell>
        </row>
        <row r="203">
          <cell r="AD203" t="str">
            <v>Chloride</v>
          </cell>
        </row>
        <row r="204">
          <cell r="AD204" t="str">
            <v>Cholesterol (ricos)</v>
          </cell>
        </row>
        <row r="205">
          <cell r="AD205" t="str">
            <v>Cholinesterase</v>
          </cell>
        </row>
        <row r="206">
          <cell r="AD206" t="str">
            <v>Cholinesterase, activity</v>
          </cell>
        </row>
        <row r="207">
          <cell r="AD207" t="str">
            <v>Cholinesterase, immunoreactive</v>
          </cell>
        </row>
        <row r="208">
          <cell r="AD208" t="str">
            <v>C3 complement</v>
          </cell>
        </row>
        <row r="209">
          <cell r="AD209" t="str">
            <v>C4 complement</v>
          </cell>
        </row>
        <row r="210">
          <cell r="AD210" t="str">
            <v>Chromogranin A</v>
          </cell>
        </row>
        <row r="211">
          <cell r="AD211" t="str">
            <v>Copper</v>
          </cell>
        </row>
        <row r="212">
          <cell r="AD212" t="str">
            <v>Copper</v>
          </cell>
        </row>
        <row r="213">
          <cell r="AD213" t="str">
            <v>Cortisol (ricos)</v>
          </cell>
        </row>
        <row r="214">
          <cell r="AD214" t="str">
            <v>C Peptide</v>
          </cell>
        </row>
        <row r="215">
          <cell r="AD215" t="str">
            <v>C-Propeptide type I procollagen</v>
          </cell>
        </row>
        <row r="216">
          <cell r="AD216" t="str">
            <v>C-Reactive protein</v>
          </cell>
        </row>
        <row r="217">
          <cell r="AD217" t="str">
            <v>Creatine kinase (CK)</v>
          </cell>
        </row>
        <row r="218">
          <cell r="AD218" t="str">
            <v>Creatine kinase MB, %</v>
          </cell>
        </row>
        <row r="219">
          <cell r="AD219" t="str">
            <v>Creatine kinase MB, activity</v>
          </cell>
        </row>
        <row r="220">
          <cell r="AD220" t="str">
            <v>Creatine kinase MB, mass</v>
          </cell>
        </row>
        <row r="221">
          <cell r="AD221" t="str">
            <v>Creatinine (ricos)</v>
          </cell>
        </row>
        <row r="222">
          <cell r="AD222" t="str">
            <v>Creatinine clearance</v>
          </cell>
        </row>
        <row r="223">
          <cell r="AD223" t="str">
            <v>Cyfra 21,1</v>
          </cell>
        </row>
        <row r="224">
          <cell r="AD224" t="str">
            <v>Cystastin C</v>
          </cell>
        </row>
        <row r="225">
          <cell r="AD225" t="str">
            <v>Cysteine</v>
          </cell>
        </row>
        <row r="226">
          <cell r="AD226" t="str">
            <v>Dehydroepiandrosterone sulfate</v>
          </cell>
        </row>
        <row r="227">
          <cell r="AD227" t="str">
            <v>Dipeptidyl-peptidase IV (ACE)</v>
          </cell>
        </row>
        <row r="228">
          <cell r="AD228" t="str">
            <v>Dipeptidyl-peptidase IV (ACE)</v>
          </cell>
        </row>
        <row r="229">
          <cell r="AD229" t="str">
            <v>Elastase</v>
          </cell>
        </row>
        <row r="230">
          <cell r="AD230" t="str">
            <v>Endotelial growth factor</v>
          </cell>
        </row>
        <row r="231">
          <cell r="AD231" t="str">
            <v>Eosinophils, count</v>
          </cell>
        </row>
        <row r="232">
          <cell r="AD232" t="str">
            <v>Epinephrine</v>
          </cell>
        </row>
        <row r="233">
          <cell r="AD233" t="str">
            <v>Epinephrine</v>
          </cell>
        </row>
        <row r="234">
          <cell r="AD234" t="str">
            <v>Erythrocytes, count</v>
          </cell>
        </row>
        <row r="235">
          <cell r="AD235" t="str">
            <v>Erythrocyte distribution wide</v>
          </cell>
        </row>
        <row r="236">
          <cell r="AD236" t="str">
            <v>Estradiol</v>
          </cell>
        </row>
        <row r="237">
          <cell r="AD237" t="str">
            <v>Factor V coagulation</v>
          </cell>
        </row>
        <row r="238">
          <cell r="AD238" t="str">
            <v>Factor VII coagulation</v>
          </cell>
        </row>
        <row r="239">
          <cell r="AD239" t="str">
            <v>Factor VIII coagulation</v>
          </cell>
        </row>
        <row r="240">
          <cell r="AD240" t="str">
            <v>Factor X coagulation</v>
          </cell>
        </row>
        <row r="241">
          <cell r="AD241" t="str">
            <v>Ferritin</v>
          </cell>
        </row>
        <row r="242">
          <cell r="AD242" t="str">
            <v>Fibrinogen</v>
          </cell>
        </row>
        <row r="243">
          <cell r="AD243" t="str">
            <v>Folate (ricos 1)</v>
          </cell>
        </row>
        <row r="244">
          <cell r="AD244" t="str">
            <v>Folate (ricos 2)</v>
          </cell>
        </row>
        <row r="245">
          <cell r="AD245" t="str">
            <v>Follicle stimulating hormone (males)</v>
          </cell>
        </row>
        <row r="246">
          <cell r="AD246" t="str">
            <v>Free carnitine</v>
          </cell>
        </row>
        <row r="247">
          <cell r="AD247" t="str">
            <v>Free estradiol</v>
          </cell>
        </row>
        <row r="248">
          <cell r="AD248" t="str">
            <v>Free testosterone</v>
          </cell>
        </row>
        <row r="249">
          <cell r="AD249" t="str">
            <v>Free thyroxine (FT4)</v>
          </cell>
        </row>
        <row r="250">
          <cell r="AD250" t="str">
            <v>Free Triiodothyronine (FT3)</v>
          </cell>
        </row>
        <row r="251">
          <cell r="AD251" t="str">
            <v>Fructosamine (ricos)</v>
          </cell>
        </row>
        <row r="252">
          <cell r="AD252" t="str">
            <v>Galactosyl hydroxylisine</v>
          </cell>
        </row>
        <row r="253">
          <cell r="AD253" t="str">
            <v>g-Globulins</v>
          </cell>
        </row>
        <row r="254">
          <cell r="AD254" t="str">
            <v>g-glutamyltransferase</v>
          </cell>
        </row>
        <row r="255">
          <cell r="AD255" t="str">
            <v>Globulins, total</v>
          </cell>
        </row>
        <row r="256">
          <cell r="AD256" t="str">
            <v>Glucose (ricos)</v>
          </cell>
        </row>
        <row r="257">
          <cell r="AD257" t="str">
            <v>Glucose-6-phosphate-1-dehydrogenase (G6PDH)</v>
          </cell>
        </row>
        <row r="258">
          <cell r="AD258" t="str">
            <v>Glucose-6-phosphate-1-dehydrogenase (G6PDH)</v>
          </cell>
        </row>
        <row r="259">
          <cell r="AD259" t="str">
            <v>Glutathion peroxidase</v>
          </cell>
        </row>
        <row r="260">
          <cell r="AD260" t="str">
            <v>Glycated albumin</v>
          </cell>
        </row>
        <row r="261">
          <cell r="AD261" t="str">
            <v>Glycated total protein</v>
          </cell>
        </row>
        <row r="262">
          <cell r="AD262" t="str">
            <v>Haptoglobin</v>
          </cell>
        </row>
        <row r="263">
          <cell r="AD263" t="str">
            <v>Hematocrit</v>
          </cell>
        </row>
        <row r="264">
          <cell r="AD264" t="str">
            <v>Hemoglobin</v>
          </cell>
        </row>
        <row r="265">
          <cell r="AD265" t="str">
            <v>Hemoglobin A1 C</v>
          </cell>
        </row>
        <row r="266">
          <cell r="AD266" t="str">
            <v>HDL cholesterol</v>
          </cell>
        </row>
        <row r="267">
          <cell r="AD267" t="str">
            <v>HDL 1 cholesterol</v>
          </cell>
        </row>
        <row r="268">
          <cell r="AD268" t="str">
            <v>HDL 2 cholesterol</v>
          </cell>
        </row>
        <row r="269">
          <cell r="AD269" t="str">
            <v>HDL 3 cholesterol</v>
          </cell>
        </row>
        <row r="270">
          <cell r="AD270" t="str">
            <v>Homocysteine</v>
          </cell>
        </row>
        <row r="271">
          <cell r="AD271" t="str">
            <v>Hydroxyproline/creatinine</v>
          </cell>
        </row>
        <row r="272">
          <cell r="AD272" t="str">
            <v>Hydroxybutyrate dehydrogenase</v>
          </cell>
        </row>
        <row r="273">
          <cell r="AD273" t="str">
            <v>Immunoglobulin A</v>
          </cell>
        </row>
        <row r="274">
          <cell r="AD274" t="str">
            <v>Immunoglobulin G</v>
          </cell>
        </row>
        <row r="275">
          <cell r="AD275" t="str">
            <v>Immunoglobulin M</v>
          </cell>
        </row>
        <row r="276">
          <cell r="AD276" t="str">
            <v>Immunoglobulins K chains</v>
          </cell>
        </row>
        <row r="277">
          <cell r="AD277" t="str">
            <v>Immunoglobulins l chains</v>
          </cell>
        </row>
        <row r="278">
          <cell r="AD278" t="str">
            <v>Insulin</v>
          </cell>
        </row>
        <row r="279">
          <cell r="AD279" t="str">
            <v>Insulin-like growth factor (IGF-1)</v>
          </cell>
        </row>
        <row r="280">
          <cell r="AD280" t="str">
            <v>Intercellular adhesion molecule-1</v>
          </cell>
        </row>
        <row r="281">
          <cell r="AD281" t="str">
            <v>Interferon receptor</v>
          </cell>
        </row>
        <row r="282">
          <cell r="AD282" t="str">
            <v>Interleukin-1B</v>
          </cell>
        </row>
        <row r="283">
          <cell r="AD283" t="str">
            <v>Interleukin-8</v>
          </cell>
        </row>
        <row r="284">
          <cell r="AD284" t="str">
            <v>Iron</v>
          </cell>
        </row>
        <row r="285">
          <cell r="AD285" t="str">
            <v>Lactate (ricos)</v>
          </cell>
        </row>
        <row r="286">
          <cell r="AD286" t="str">
            <v>Lactate dehydrogenase (LDH)</v>
          </cell>
        </row>
        <row r="287">
          <cell r="AD287" t="str">
            <v>Lactate dehydrogenase 1 isoform (LDH1)</v>
          </cell>
        </row>
        <row r="288">
          <cell r="AD288" t="str">
            <v>Lactate dehydrogenase 2 isoform (LDH2)</v>
          </cell>
        </row>
        <row r="289">
          <cell r="AD289" t="str">
            <v>Lactate dehydrogenase 3 isoform (LDH3)</v>
          </cell>
        </row>
        <row r="290">
          <cell r="AD290" t="str">
            <v>Lactate dehydrogenase 4 isoform (LDH4)</v>
          </cell>
        </row>
        <row r="291">
          <cell r="AD291" t="str">
            <v>Lactate dehydrogenase 5 isoform (LDH5)</v>
          </cell>
        </row>
        <row r="292">
          <cell r="AD292" t="str">
            <v>Lactoferrin</v>
          </cell>
        </row>
        <row r="293">
          <cell r="AD293" t="str">
            <v>Leukocytes, count</v>
          </cell>
        </row>
        <row r="294">
          <cell r="AD294" t="str">
            <v>LDL Cholesterol</v>
          </cell>
        </row>
        <row r="295">
          <cell r="AD295" t="str">
            <v>LDL Cholesterol (direct)</v>
          </cell>
        </row>
        <row r="296">
          <cell r="AD296" t="str">
            <v>LDL Cholesterol (oxidized)</v>
          </cell>
        </row>
        <row r="297">
          <cell r="AD297" t="str">
            <v>LDL receptor mRNA</v>
          </cell>
        </row>
        <row r="298">
          <cell r="AD298" t="str">
            <v>Leukocytes count</v>
          </cell>
        </row>
        <row r="299">
          <cell r="AD299" t="str">
            <v>Lipase (ricos)</v>
          </cell>
        </row>
        <row r="300">
          <cell r="AD300" t="str">
            <v>Lipoprotein (a)</v>
          </cell>
        </row>
        <row r="301">
          <cell r="AD301" t="str">
            <v>Lutein</v>
          </cell>
        </row>
        <row r="302">
          <cell r="AD302" t="str">
            <v>Luteinizing hormone</v>
          </cell>
        </row>
        <row r="303">
          <cell r="AD303" t="str">
            <v>Lycopenene</v>
          </cell>
        </row>
        <row r="304">
          <cell r="AD304" t="str">
            <v>Lymphocytes, count</v>
          </cell>
        </row>
        <row r="305">
          <cell r="AD305" t="str">
            <v>Lymphocytes CD4</v>
          </cell>
        </row>
        <row r="306">
          <cell r="AD306" t="str">
            <v>Magnesium (ricos)</v>
          </cell>
        </row>
        <row r="307">
          <cell r="AD307" t="str">
            <v>Magnesium (ricos2)</v>
          </cell>
        </row>
        <row r="308">
          <cell r="AD308" t="str">
            <v>Magnesium (ricos3)</v>
          </cell>
        </row>
        <row r="309">
          <cell r="AD309" t="str">
            <v>Magnesium, concentration, 24h</v>
          </cell>
        </row>
        <row r="310">
          <cell r="AD310" t="str">
            <v>Magnesium, ionized</v>
          </cell>
        </row>
        <row r="311">
          <cell r="AD311" t="str">
            <v>Magnesium, output, 24h</v>
          </cell>
        </row>
        <row r="312">
          <cell r="AD312" t="str">
            <v>Mean corpuscular hemoglobin (HCM)</v>
          </cell>
        </row>
        <row r="313">
          <cell r="AD313" t="str">
            <v>Mean corpuscular hemoglobin concentration (MCHC)</v>
          </cell>
        </row>
        <row r="314">
          <cell r="AD314" t="str">
            <v>Mean corpuscular volume (MCV)</v>
          </cell>
        </row>
        <row r="315">
          <cell r="AD315" t="str">
            <v>Mean platelet volume (MPV)</v>
          </cell>
        </row>
        <row r="316">
          <cell r="AD316" t="str">
            <v>Monocytes, count</v>
          </cell>
        </row>
        <row r="317">
          <cell r="AD317" t="str">
            <v>Mucinous carcinoma-associated antigen (MCA)</v>
          </cell>
        </row>
        <row r="318">
          <cell r="AD318" t="str">
            <v>Myeloperoxidase</v>
          </cell>
        </row>
        <row r="319">
          <cell r="AD319" t="str">
            <v>Myoglobin</v>
          </cell>
        </row>
        <row r="320">
          <cell r="AD320" t="str">
            <v>N-Acetyl Glucosaminidase, concentration, overnight</v>
          </cell>
        </row>
        <row r="321">
          <cell r="AD321" t="str">
            <v>Neutrophyles, count</v>
          </cell>
        </row>
        <row r="322">
          <cell r="AD322" t="str">
            <v>Non-inhibited arilestearase activity</v>
          </cell>
        </row>
        <row r="323">
          <cell r="AD323" t="str">
            <v>Norepinephrine</v>
          </cell>
        </row>
        <row r="324">
          <cell r="AD324" t="str">
            <v>Norepinephrine</v>
          </cell>
        </row>
        <row r="325">
          <cell r="AD325" t="str">
            <v>N-terminal (NT)-proBNP</v>
          </cell>
        </row>
        <row r="326">
          <cell r="AD326" t="str">
            <v>Osmolality</v>
          </cell>
        </row>
        <row r="327">
          <cell r="AD327" t="str">
            <v>Osteocalcin</v>
          </cell>
        </row>
        <row r="328">
          <cell r="AD328" t="str">
            <v>Osteocalcin (+1 trab)</v>
          </cell>
        </row>
        <row r="329">
          <cell r="AD329" t="str">
            <v>Oxalate, concentration, 24h</v>
          </cell>
        </row>
        <row r="330">
          <cell r="AD330" t="str">
            <v>Oxalate, output, 24h</v>
          </cell>
        </row>
        <row r="331">
          <cell r="AD331" t="str">
            <v>pCO2 (ricos)</v>
          </cell>
        </row>
        <row r="332">
          <cell r="AD332" t="str">
            <v>pH [H+]</v>
          </cell>
        </row>
        <row r="333">
          <cell r="AD333" t="str">
            <v>pH (pH units)</v>
          </cell>
        </row>
        <row r="334">
          <cell r="AD334" t="str">
            <v>Paraoxon</v>
          </cell>
        </row>
        <row r="335">
          <cell r="AD335" t="str">
            <v>Paraoxonase 1 substrate inhibition (PON 4SI)</v>
          </cell>
        </row>
        <row r="336">
          <cell r="AD336" t="str">
            <v>Paraoxonase activity (salt estimulated)</v>
          </cell>
        </row>
        <row r="337">
          <cell r="AD337" t="str">
            <v>Parathyroid hormone (PTH)</v>
          </cell>
        </row>
        <row r="338">
          <cell r="AD338" t="str">
            <v>Phenylacetate</v>
          </cell>
        </row>
        <row r="339">
          <cell r="AD339" t="str">
            <v>Phosphate (ricos)</v>
          </cell>
        </row>
        <row r="340">
          <cell r="AD340" t="str">
            <v>Phosphate tubular reabsorption</v>
          </cell>
        </row>
        <row r="341">
          <cell r="AD341" t="str">
            <v>Phospholipids</v>
          </cell>
        </row>
        <row r="342">
          <cell r="AD342" t="str">
            <v>Plasminogen</v>
          </cell>
        </row>
        <row r="343">
          <cell r="AD343" t="str">
            <v>Platelets, count</v>
          </cell>
        </row>
        <row r="344">
          <cell r="AD344" t="str">
            <v>Platelet distribution wide</v>
          </cell>
        </row>
        <row r="345">
          <cell r="AD345" t="str">
            <v>Plateletcrit</v>
          </cell>
        </row>
        <row r="346">
          <cell r="AD346" t="str">
            <v>Potassium (ricos)</v>
          </cell>
        </row>
        <row r="347">
          <cell r="AD347" t="str">
            <v>Potassium (ricos2)</v>
          </cell>
        </row>
        <row r="348">
          <cell r="AD348" t="str">
            <v>Prealbumin</v>
          </cell>
        </row>
        <row r="349">
          <cell r="AD349" t="str">
            <v>Procollagen type 1 C-terminal</v>
          </cell>
        </row>
        <row r="350">
          <cell r="AD350" t="str">
            <v>Procollagen type 1 N-terminal</v>
          </cell>
        </row>
        <row r="351">
          <cell r="AD351" t="str">
            <v>Prolactin (men)</v>
          </cell>
        </row>
        <row r="352">
          <cell r="AD352" t="str">
            <v>Prolyl endopeptidase</v>
          </cell>
        </row>
        <row r="353">
          <cell r="AD353" t="str">
            <v>Properdin factor B</v>
          </cell>
        </row>
        <row r="354">
          <cell r="AD354" t="str">
            <v>Prostatic specific antigen (PSA)</v>
          </cell>
        </row>
        <row r="355">
          <cell r="AD355" t="str">
            <v>Protein C</v>
          </cell>
        </row>
        <row r="356">
          <cell r="AD356" t="str">
            <v>Protein S</v>
          </cell>
        </row>
        <row r="357">
          <cell r="AD357" t="str">
            <v>Protein, total</v>
          </cell>
        </row>
        <row r="358">
          <cell r="AD358" t="str">
            <v>Prothrombin time</v>
          </cell>
        </row>
        <row r="359">
          <cell r="AD359" t="str">
            <v>Pyruvate</v>
          </cell>
        </row>
        <row r="360">
          <cell r="AD360" t="str">
            <v>Red cell distribution wide (RDW)</v>
          </cell>
        </row>
        <row r="361">
          <cell r="AD361" t="str">
            <v>Reticulocyte highly fluorescent, count</v>
          </cell>
        </row>
        <row r="362">
          <cell r="AD362" t="str">
            <v>Reticulocyte low fluorescent, count</v>
          </cell>
        </row>
        <row r="363">
          <cell r="AD363" t="str">
            <v>Reticulocyte medium fluorescent, count</v>
          </cell>
        </row>
        <row r="364">
          <cell r="AD364" t="str">
            <v>Reticulocyte, count</v>
          </cell>
        </row>
        <row r="365">
          <cell r="AD365" t="str">
            <v>Retinol</v>
          </cell>
        </row>
        <row r="366">
          <cell r="AD366" t="str">
            <v>Retinol</v>
          </cell>
        </row>
        <row r="367">
          <cell r="AD367" t="str">
            <v>Rheumatoid factor</v>
          </cell>
        </row>
        <row r="368">
          <cell r="AD368" t="str">
            <v>SCC antigen</v>
          </cell>
        </row>
        <row r="369">
          <cell r="AD369" t="str">
            <v>Selenium</v>
          </cell>
        </row>
        <row r="370">
          <cell r="AD370" t="str">
            <v>Selenium</v>
          </cell>
        </row>
        <row r="371">
          <cell r="AD371" t="str">
            <v>Semen, concentration</v>
          </cell>
        </row>
        <row r="372">
          <cell r="AD372" t="str">
            <v>Semen, morphology</v>
          </cell>
        </row>
        <row r="373">
          <cell r="AD373" t="str">
            <v>Semen, progressive motility</v>
          </cell>
        </row>
        <row r="374">
          <cell r="AD374" t="str">
            <v>Semen, progressive rapid motility</v>
          </cell>
        </row>
        <row r="375">
          <cell r="AD375" t="str">
            <v>Semen, total motility</v>
          </cell>
        </row>
        <row r="376">
          <cell r="AD376" t="str">
            <v>Semen, vitality</v>
          </cell>
        </row>
        <row r="377">
          <cell r="AD377" t="str">
            <v>Sex hormone binding globulin (SHBG)</v>
          </cell>
        </row>
        <row r="378">
          <cell r="AD378" t="str">
            <v>Sodium (ricos)</v>
          </cell>
        </row>
        <row r="379">
          <cell r="AD379" t="str">
            <v>Sodium (ricos2)</v>
          </cell>
        </row>
        <row r="380">
          <cell r="AD380" t="str">
            <v>Sodium (ricos3)</v>
          </cell>
        </row>
        <row r="381">
          <cell r="AD381" t="str">
            <v>Sodium Bicarbonate</v>
          </cell>
        </row>
        <row r="382">
          <cell r="AD382" t="str">
            <v>Sodium Chloride</v>
          </cell>
        </row>
        <row r="383">
          <cell r="AD383" t="str">
            <v>Soluble CD163</v>
          </cell>
        </row>
        <row r="384">
          <cell r="AD384" t="str">
            <v>Soluble CD163</v>
          </cell>
        </row>
        <row r="385">
          <cell r="AD385" t="str">
            <v>Superoxide dismutase</v>
          </cell>
        </row>
        <row r="386">
          <cell r="AD386" t="str">
            <v>Superoxide dismutase</v>
          </cell>
        </row>
        <row r="387">
          <cell r="AD387" t="str">
            <v>Testosterone (ricos)</v>
          </cell>
        </row>
        <row r="388">
          <cell r="AD388" t="str">
            <v>Testosterone (ricos2)</v>
          </cell>
        </row>
        <row r="389">
          <cell r="AD389" t="str">
            <v>Testosterone (ricos3)</v>
          </cell>
        </row>
        <row r="390">
          <cell r="AD390" t="str">
            <v>Thyroglobulin</v>
          </cell>
        </row>
        <row r="391">
          <cell r="AD391" t="str">
            <v>Thyroglobulin antibody</v>
          </cell>
        </row>
        <row r="392">
          <cell r="AD392" t="str">
            <v>Thyroid peroxidase antibody</v>
          </cell>
        </row>
        <row r="393">
          <cell r="AD393" t="str">
            <v>Thyroid stimulating hormone (TSH)</v>
          </cell>
        </row>
        <row r="394">
          <cell r="AD394" t="str">
            <v>Thyrotropin receptor antibody</v>
          </cell>
        </row>
        <row r="395">
          <cell r="AD395" t="str">
            <v>Thyroxine binding globulin (TBG)</v>
          </cell>
        </row>
        <row r="396">
          <cell r="AD396" t="str">
            <v>Thyroxine (T4)</v>
          </cell>
        </row>
        <row r="397">
          <cell r="AD397" t="str">
            <v>Tissue polypeptide antigen (TPA)</v>
          </cell>
        </row>
        <row r="398">
          <cell r="AD398" t="str">
            <v>Tissue polypeptide specific antigen (TPS)</v>
          </cell>
        </row>
        <row r="399">
          <cell r="AD399" t="str">
            <v>Total carnitine</v>
          </cell>
        </row>
        <row r="400">
          <cell r="AD400" t="str">
            <v>Transferrin</v>
          </cell>
        </row>
        <row r="401">
          <cell r="AD401" t="str">
            <v>Triglyceride</v>
          </cell>
        </row>
        <row r="402">
          <cell r="AD402" t="str">
            <v>Triiodothyronine (T3)</v>
          </cell>
        </row>
        <row r="403">
          <cell r="AD403" t="str">
            <v>Troponin I</v>
          </cell>
        </row>
        <row r="404">
          <cell r="AD404" t="str">
            <v>Tumor Necrosis Factor-a</v>
          </cell>
        </row>
        <row r="405">
          <cell r="AD405" t="str">
            <v>Urate</v>
          </cell>
        </row>
        <row r="406">
          <cell r="AD406" t="str">
            <v>Urea</v>
          </cell>
        </row>
        <row r="407">
          <cell r="AD407" t="str">
            <v>Vascular cell adhesion molecule-1</v>
          </cell>
        </row>
        <row r="408">
          <cell r="AD408" t="str">
            <v>Vascular endotelial growth factor</v>
          </cell>
        </row>
        <row r="409">
          <cell r="AD409" t="str">
            <v>Vitamin B1</v>
          </cell>
        </row>
        <row r="410">
          <cell r="AD410" t="str">
            <v>Vitamin B2 (Riboflavin)</v>
          </cell>
        </row>
        <row r="411">
          <cell r="AD411" t="str">
            <v>Vitamin B2 (Riboflavin)</v>
          </cell>
        </row>
        <row r="412">
          <cell r="AD412" t="str">
            <v>Vitamin B2 status (gluthation reductase activation)</v>
          </cell>
        </row>
        <row r="413">
          <cell r="AD413" t="str">
            <v>Vitamin B12</v>
          </cell>
        </row>
        <row r="414">
          <cell r="AD414" t="str">
            <v>Vitamin B6</v>
          </cell>
        </row>
        <row r="415">
          <cell r="AD415" t="str">
            <v>Vitamin B6</v>
          </cell>
        </row>
        <row r="416">
          <cell r="AD416" t="str">
            <v>Vitamin B6 status (AST activation)</v>
          </cell>
        </row>
        <row r="417">
          <cell r="AD417" t="str">
            <v>Vitamin E (a-Tocopherol)</v>
          </cell>
        </row>
        <row r="418">
          <cell r="AD418" t="str">
            <v>Vitamin K (Phylloquinone)</v>
          </cell>
        </row>
        <row r="419">
          <cell r="AD419" t="str">
            <v>VLDL Cholesterol</v>
          </cell>
        </row>
        <row r="420">
          <cell r="AD420" t="str">
            <v>Von Willebrand factor</v>
          </cell>
        </row>
        <row r="421">
          <cell r="AD421" t="str">
            <v>Von Willebrand factor antigen</v>
          </cell>
        </row>
        <row r="422">
          <cell r="AD422" t="str">
            <v>Water</v>
          </cell>
        </row>
        <row r="423">
          <cell r="AD423" t="str">
            <v>Zeaxanthine</v>
          </cell>
        </row>
        <row r="424">
          <cell r="AD424" t="str">
            <v>Zinc (ricos 1)</v>
          </cell>
        </row>
        <row r="425">
          <cell r="AD425" t="str">
            <v>Zinc (ricos 2)</v>
          </cell>
        </row>
        <row r="426">
          <cell r="AD426" t="str">
            <v>Creatinine, output, 24h</v>
          </cell>
        </row>
        <row r="427">
          <cell r="AD427" t="str">
            <v>URINE</v>
          </cell>
        </row>
        <row r="428">
          <cell r="AD428" t="str">
            <v>4 OH-3 methoxi-Vanil mandelic acid (VMA)</v>
          </cell>
        </row>
        <row r="429">
          <cell r="AD429" t="str">
            <v>5'-Hydroxyindolacetate, concentration</v>
          </cell>
        </row>
        <row r="430">
          <cell r="AD430" t="str">
            <v>a1-Microglobulin, concentration, first morning</v>
          </cell>
        </row>
        <row r="431">
          <cell r="AD431" t="str">
            <v>a2-Microglobulin output, first morning</v>
          </cell>
        </row>
        <row r="432">
          <cell r="AD432" t="str">
            <v>a-Amylase concentration, random</v>
          </cell>
        </row>
        <row r="433">
          <cell r="AD433" t="str">
            <v>Albumin, concentration, first morning</v>
          </cell>
        </row>
        <row r="434">
          <cell r="AD434" t="str">
            <v>Aldosterone, concentration</v>
          </cell>
        </row>
        <row r="435">
          <cell r="AD435" t="str">
            <v>Ammonia, output, 24h</v>
          </cell>
        </row>
        <row r="436">
          <cell r="AD436" t="str">
            <v>Calcium, concentration, 24h</v>
          </cell>
        </row>
        <row r="437">
          <cell r="AD437" t="str">
            <v>Calcium, ionized</v>
          </cell>
        </row>
        <row r="438">
          <cell r="AD438" t="str">
            <v>Calcium, output, 24h</v>
          </cell>
        </row>
        <row r="439">
          <cell r="AD439" t="str">
            <v>C-Terminal cross-linking telopeptide  type I collagen (s-CTx)</v>
          </cell>
        </row>
        <row r="440">
          <cell r="AD440" t="str">
            <v>C-Telopeptide of type I collagen/creatinine, 1st morning</v>
          </cell>
        </row>
        <row r="441">
          <cell r="AD441" t="str">
            <v>C-Telopeptide type I collagen/creatinine, 2nd morning</v>
          </cell>
        </row>
        <row r="442">
          <cell r="AD442" t="str">
            <v>Creatinine, concentration, 24h</v>
          </cell>
        </row>
        <row r="443">
          <cell r="AD443" t="str">
            <v>Creatinine, output, 24h</v>
          </cell>
        </row>
        <row r="444">
          <cell r="AD444" t="str">
            <v>?-aminolevulinic acid</v>
          </cell>
        </row>
        <row r="445">
          <cell r="AD445" t="str">
            <v>Deoxypyridinoline/creatinine, 24h (Delmas CC 2001)</v>
          </cell>
        </row>
        <row r="446">
          <cell r="AD446" t="str">
            <v>Deoxypyridinoline/creatinine, first morning</v>
          </cell>
        </row>
        <row r="447">
          <cell r="AD447" t="str">
            <v>Deoxipyridinoline/minute</v>
          </cell>
        </row>
        <row r="448">
          <cell r="AD448" t="str">
            <v>Estradiol</v>
          </cell>
        </row>
        <row r="449">
          <cell r="AD449" t="str">
            <v>Free estradiol</v>
          </cell>
        </row>
        <row r="450">
          <cell r="AD450" t="str">
            <v>Free testosterone</v>
          </cell>
        </row>
        <row r="451">
          <cell r="AD451" t="str">
            <v>Hydroxyproline/minute, night urine</v>
          </cell>
        </row>
        <row r="452">
          <cell r="AD452" t="str">
            <v>Magnesium, concentration, 24h</v>
          </cell>
        </row>
        <row r="453">
          <cell r="AD453" t="str">
            <v>Magnesium, ionized</v>
          </cell>
        </row>
        <row r="454">
          <cell r="AD454" t="str">
            <v>Magnesium, output, 24h</v>
          </cell>
        </row>
        <row r="455">
          <cell r="AD455" t="str">
            <v>N-Acetyl Glucosaminidase, concentration, overnight</v>
          </cell>
        </row>
        <row r="456">
          <cell r="AD456" t="str">
            <v>Nitrogen, output</v>
          </cell>
        </row>
        <row r="457">
          <cell r="AD457" t="str">
            <v>N- Telopeptide of type I collagen /creatinine, first urine</v>
          </cell>
        </row>
        <row r="458">
          <cell r="AD458" t="str">
            <v>Oxalate, concentration, 24h</v>
          </cell>
        </row>
        <row r="459">
          <cell r="AD459" t="str">
            <v>Oxalate, output, 24h</v>
          </cell>
        </row>
        <row r="460">
          <cell r="AD460" t="str">
            <v>Phosphate, concentration, 24h</v>
          </cell>
        </row>
        <row r="461">
          <cell r="AD461" t="str">
            <v>Phosphate, output, 24h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114"/>
  <sheetViews>
    <sheetView showGridLines="0" tabSelected="1" topLeftCell="A29" zoomScale="85" zoomScaleNormal="85" workbookViewId="0">
      <selection activeCell="O11" sqref="O11"/>
    </sheetView>
  </sheetViews>
  <sheetFormatPr baseColWidth="10" defaultColWidth="11.453125" defaultRowHeight="12.5" x14ac:dyDescent="0.25"/>
  <cols>
    <col min="1" max="1" width="11.453125" style="1"/>
    <col min="2" max="2" width="13.54296875" style="1" customWidth="1"/>
    <col min="3" max="3" width="12.7265625" style="1" customWidth="1"/>
    <col min="4" max="5" width="11.453125" style="1"/>
    <col min="6" max="6" width="13.453125" style="1" customWidth="1"/>
    <col min="7" max="7" width="11.54296875" style="1" bestFit="1" customWidth="1"/>
    <col min="8" max="36" width="11.453125" style="1"/>
    <col min="37" max="37" width="14.81640625" style="1" customWidth="1"/>
    <col min="38" max="38" width="48.26953125" style="1" customWidth="1"/>
    <col min="39" max="16384" width="11.453125" style="1"/>
  </cols>
  <sheetData>
    <row r="2" spans="2:38" ht="13" x14ac:dyDescent="0.3">
      <c r="C2" s="74" t="s">
        <v>140</v>
      </c>
    </row>
    <row r="3" spans="2:38" ht="13" x14ac:dyDescent="0.3">
      <c r="C3" s="74"/>
    </row>
    <row r="4" spans="2:38" ht="13" x14ac:dyDescent="0.3">
      <c r="C4" s="90" t="s">
        <v>139</v>
      </c>
    </row>
    <row r="5" spans="2:38" ht="13.5" thickBot="1" x14ac:dyDescent="0.35">
      <c r="C5" s="111"/>
    </row>
    <row r="6" spans="2:38" x14ac:dyDescent="0.25">
      <c r="C6" s="110" t="s">
        <v>138</v>
      </c>
      <c r="D6" s="68" t="s">
        <v>137</v>
      </c>
      <c r="E6" s="67" t="s">
        <v>136</v>
      </c>
      <c r="F6" s="109" t="s">
        <v>135</v>
      </c>
      <c r="G6" s="109" t="s">
        <v>23</v>
      </c>
      <c r="H6" s="109" t="s">
        <v>53</v>
      </c>
      <c r="I6" s="109" t="s">
        <v>134</v>
      </c>
      <c r="J6" s="108" t="s">
        <v>133</v>
      </c>
      <c r="K6" s="107" t="s">
        <v>87</v>
      </c>
    </row>
    <row r="7" spans="2:38" x14ac:dyDescent="0.25">
      <c r="C7" s="106" t="s">
        <v>63</v>
      </c>
      <c r="D7" s="85"/>
      <c r="E7" s="84"/>
      <c r="F7" s="84"/>
      <c r="G7" s="84"/>
      <c r="H7" s="84"/>
      <c r="I7" s="63"/>
      <c r="J7" s="62"/>
      <c r="K7" s="105"/>
    </row>
    <row r="8" spans="2:38" ht="13" thickBot="1" x14ac:dyDescent="0.3">
      <c r="C8" s="102" t="s">
        <v>62</v>
      </c>
      <c r="D8" s="60">
        <v>1</v>
      </c>
      <c r="E8" s="59">
        <v>1</v>
      </c>
      <c r="F8" s="59">
        <v>3</v>
      </c>
      <c r="G8" s="59">
        <v>2</v>
      </c>
      <c r="H8" s="59">
        <v>1</v>
      </c>
      <c r="I8" s="59">
        <v>1</v>
      </c>
      <c r="J8" s="58">
        <v>1</v>
      </c>
      <c r="K8" s="101">
        <f>D8*E8*F8*G8*H8*I8*J8</f>
        <v>6</v>
      </c>
    </row>
    <row r="9" spans="2:38" ht="14.5" thickBot="1" x14ac:dyDescent="0.3">
      <c r="C9" s="102" t="s">
        <v>61</v>
      </c>
      <c r="D9" s="60">
        <v>1</v>
      </c>
      <c r="E9" s="59">
        <v>1</v>
      </c>
      <c r="F9" s="59">
        <v>3</v>
      </c>
      <c r="G9" s="59">
        <v>1</v>
      </c>
      <c r="H9" s="59">
        <v>2</v>
      </c>
      <c r="I9" s="59">
        <v>3</v>
      </c>
      <c r="J9" s="58">
        <v>2</v>
      </c>
      <c r="K9" s="101">
        <f>D9*E9*F9*G9*H9*I9*J9</f>
        <v>36</v>
      </c>
      <c r="AJ9" s="104" t="s">
        <v>90</v>
      </c>
      <c r="AK9" s="103" t="s">
        <v>131</v>
      </c>
      <c r="AL9" s="103" t="s">
        <v>132</v>
      </c>
    </row>
    <row r="10" spans="2:38" ht="14.5" thickBot="1" x14ac:dyDescent="0.3">
      <c r="C10" s="102" t="s">
        <v>60</v>
      </c>
      <c r="D10" s="60">
        <v>3</v>
      </c>
      <c r="E10" s="59">
        <v>2</v>
      </c>
      <c r="F10" s="59">
        <v>3</v>
      </c>
      <c r="G10" s="59">
        <v>2</v>
      </c>
      <c r="H10" s="59">
        <v>3</v>
      </c>
      <c r="I10" s="59">
        <v>1</v>
      </c>
      <c r="J10" s="58">
        <v>3</v>
      </c>
      <c r="K10" s="101">
        <f>D10*E10*F10*G10*H10*I10*J10</f>
        <v>324</v>
      </c>
      <c r="AJ10" s="125" t="s">
        <v>53</v>
      </c>
      <c r="AK10" s="95">
        <v>1</v>
      </c>
      <c r="AL10" s="94" t="s">
        <v>129</v>
      </c>
    </row>
    <row r="11" spans="2:38" ht="14.5" thickBot="1" x14ac:dyDescent="0.3">
      <c r="C11" s="102" t="s">
        <v>59</v>
      </c>
      <c r="D11" s="60">
        <v>1</v>
      </c>
      <c r="E11" s="59">
        <v>2</v>
      </c>
      <c r="F11" s="59">
        <v>3</v>
      </c>
      <c r="G11" s="59">
        <v>2</v>
      </c>
      <c r="H11" s="59">
        <v>1</v>
      </c>
      <c r="I11" s="59">
        <v>2</v>
      </c>
      <c r="J11" s="58">
        <v>3</v>
      </c>
      <c r="K11" s="101">
        <f>D11*E11*F11*G11*H11*I11*J11</f>
        <v>72</v>
      </c>
      <c r="AJ11" s="127"/>
      <c r="AK11" s="95">
        <v>2</v>
      </c>
      <c r="AL11" s="94" t="s">
        <v>127</v>
      </c>
    </row>
    <row r="12" spans="2:38" ht="14.5" thickBot="1" x14ac:dyDescent="0.3">
      <c r="C12" s="100" t="s">
        <v>58</v>
      </c>
      <c r="D12" s="53">
        <v>1</v>
      </c>
      <c r="E12" s="52">
        <v>2</v>
      </c>
      <c r="F12" s="52">
        <v>1</v>
      </c>
      <c r="G12" s="52">
        <v>1</v>
      </c>
      <c r="H12" s="52">
        <v>2</v>
      </c>
      <c r="I12" s="52">
        <v>3</v>
      </c>
      <c r="J12" s="51">
        <v>1</v>
      </c>
      <c r="K12" s="99">
        <f>D12*E12*F12*G12*H12*I12*J12</f>
        <v>12</v>
      </c>
      <c r="AJ12" s="125" t="s">
        <v>126</v>
      </c>
      <c r="AK12" s="95">
        <v>1</v>
      </c>
      <c r="AL12" s="94" t="s">
        <v>125</v>
      </c>
    </row>
    <row r="13" spans="2:38" ht="14.5" thickBot="1" x14ac:dyDescent="0.35">
      <c r="B13" s="50"/>
      <c r="C13" s="48" t="s">
        <v>141</v>
      </c>
      <c r="D13" s="93"/>
      <c r="E13" s="92"/>
      <c r="F13" s="92"/>
      <c r="G13" s="92"/>
      <c r="H13" s="92"/>
      <c r="I13" s="92"/>
      <c r="AJ13" s="127"/>
      <c r="AK13" s="95">
        <v>4</v>
      </c>
      <c r="AL13" s="94" t="s">
        <v>123</v>
      </c>
    </row>
    <row r="14" spans="2:38" ht="14.5" thickBot="1" x14ac:dyDescent="0.3">
      <c r="B14" s="50"/>
      <c r="C14" s="98" t="s">
        <v>90</v>
      </c>
      <c r="D14" s="98" t="s">
        <v>131</v>
      </c>
      <c r="E14" s="128" t="s">
        <v>130</v>
      </c>
      <c r="F14" s="128"/>
      <c r="G14" s="128"/>
      <c r="H14" s="92"/>
      <c r="I14" s="92"/>
      <c r="AJ14" s="97"/>
      <c r="AK14" s="95">
        <v>2</v>
      </c>
      <c r="AL14" s="94" t="s">
        <v>119</v>
      </c>
    </row>
    <row r="15" spans="2:38" ht="14.5" thickBot="1" x14ac:dyDescent="0.35">
      <c r="B15" s="50"/>
      <c r="C15" s="123" t="s">
        <v>53</v>
      </c>
      <c r="D15" s="91">
        <v>1</v>
      </c>
      <c r="E15" s="124" t="s">
        <v>129</v>
      </c>
      <c r="F15" s="124"/>
      <c r="G15" s="124"/>
      <c r="H15" s="93" t="s">
        <v>128</v>
      </c>
      <c r="I15" s="92"/>
      <c r="AJ15" s="125" t="s">
        <v>117</v>
      </c>
      <c r="AK15" s="95">
        <v>1</v>
      </c>
      <c r="AL15" s="94" t="s">
        <v>116</v>
      </c>
    </row>
    <row r="16" spans="2:38" ht="14.5" thickBot="1" x14ac:dyDescent="0.3">
      <c r="B16" s="50"/>
      <c r="C16" s="123"/>
      <c r="D16" s="91">
        <v>2</v>
      </c>
      <c r="E16" s="124" t="s">
        <v>127</v>
      </c>
      <c r="F16" s="124"/>
      <c r="G16" s="124"/>
      <c r="H16" s="92"/>
      <c r="I16" s="92"/>
      <c r="AJ16" s="126"/>
      <c r="AK16" s="95">
        <v>2</v>
      </c>
      <c r="AL16" s="94" t="s">
        <v>114</v>
      </c>
    </row>
    <row r="17" spans="2:38" ht="14.5" thickBot="1" x14ac:dyDescent="0.35">
      <c r="B17" s="50"/>
      <c r="C17" s="123" t="s">
        <v>126</v>
      </c>
      <c r="D17" s="91">
        <v>1</v>
      </c>
      <c r="E17" s="124" t="s">
        <v>125</v>
      </c>
      <c r="F17" s="124"/>
      <c r="G17" s="124"/>
      <c r="H17" s="93" t="s">
        <v>124</v>
      </c>
      <c r="AJ17" s="127"/>
      <c r="AK17" s="95">
        <v>3</v>
      </c>
      <c r="AL17" s="94" t="s">
        <v>113</v>
      </c>
    </row>
    <row r="18" spans="2:38" ht="14.5" thickBot="1" x14ac:dyDescent="0.3">
      <c r="B18" s="50"/>
      <c r="C18" s="123"/>
      <c r="D18" s="91">
        <v>4</v>
      </c>
      <c r="E18" s="124" t="s">
        <v>123</v>
      </c>
      <c r="F18" s="124"/>
      <c r="G18" s="124"/>
      <c r="H18" s="92"/>
      <c r="AJ18" s="125" t="s">
        <v>112</v>
      </c>
      <c r="AK18" s="95">
        <v>1</v>
      </c>
      <c r="AL18" s="94" t="s">
        <v>111</v>
      </c>
    </row>
    <row r="19" spans="2:38" ht="14.5" thickBot="1" x14ac:dyDescent="0.35">
      <c r="B19" s="50"/>
      <c r="C19" s="123" t="s">
        <v>122</v>
      </c>
      <c r="D19" s="91">
        <v>1</v>
      </c>
      <c r="E19" s="124" t="s">
        <v>121</v>
      </c>
      <c r="F19" s="124"/>
      <c r="G19" s="124"/>
      <c r="H19" s="93" t="s">
        <v>120</v>
      </c>
      <c r="AJ19" s="126"/>
      <c r="AK19" s="95">
        <v>2</v>
      </c>
      <c r="AL19" s="94" t="s">
        <v>109</v>
      </c>
    </row>
    <row r="20" spans="2:38" ht="14.5" thickBot="1" x14ac:dyDescent="0.35">
      <c r="B20" s="50"/>
      <c r="C20" s="123"/>
      <c r="D20" s="91">
        <v>2</v>
      </c>
      <c r="E20" s="124" t="s">
        <v>119</v>
      </c>
      <c r="F20" s="124"/>
      <c r="G20" s="124"/>
      <c r="H20" s="93" t="s">
        <v>118</v>
      </c>
      <c r="AJ20" s="127"/>
      <c r="AK20" s="95">
        <v>3</v>
      </c>
      <c r="AL20" s="94" t="s">
        <v>108</v>
      </c>
    </row>
    <row r="21" spans="2:38" ht="14.5" thickBot="1" x14ac:dyDescent="0.35">
      <c r="B21" s="50"/>
      <c r="C21" s="123" t="s">
        <v>117</v>
      </c>
      <c r="D21" s="91">
        <v>1</v>
      </c>
      <c r="E21" s="124" t="s">
        <v>116</v>
      </c>
      <c r="F21" s="124"/>
      <c r="G21" s="124"/>
      <c r="H21" s="93" t="s">
        <v>115</v>
      </c>
      <c r="AJ21" s="125" t="s">
        <v>107</v>
      </c>
      <c r="AK21" s="95">
        <v>1</v>
      </c>
      <c r="AL21" s="94" t="s">
        <v>106</v>
      </c>
    </row>
    <row r="22" spans="2:38" ht="14.5" thickBot="1" x14ac:dyDescent="0.3">
      <c r="B22" s="50"/>
      <c r="C22" s="123"/>
      <c r="D22" s="91">
        <v>2</v>
      </c>
      <c r="E22" s="124" t="s">
        <v>114</v>
      </c>
      <c r="F22" s="124"/>
      <c r="G22" s="124"/>
      <c r="H22" s="92"/>
      <c r="M22" s="49"/>
      <c r="N22" s="49"/>
      <c r="O22" s="49"/>
      <c r="P22" s="49"/>
      <c r="Q22" s="49"/>
      <c r="R22" s="49"/>
      <c r="AJ22" s="126"/>
      <c r="AK22" s="95">
        <v>2</v>
      </c>
      <c r="AL22" s="94" t="s">
        <v>104</v>
      </c>
    </row>
    <row r="23" spans="2:38" ht="14.5" thickBot="1" x14ac:dyDescent="0.3">
      <c r="B23" s="50"/>
      <c r="C23" s="123"/>
      <c r="D23" s="91">
        <v>3</v>
      </c>
      <c r="E23" s="124" t="s">
        <v>113</v>
      </c>
      <c r="F23" s="124"/>
      <c r="G23" s="124"/>
      <c r="H23" s="92"/>
      <c r="I23" s="92"/>
      <c r="M23" s="49"/>
      <c r="N23" s="49"/>
      <c r="O23" s="49"/>
      <c r="P23" s="49"/>
      <c r="Q23" s="49"/>
      <c r="R23" s="49"/>
      <c r="AJ23" s="126"/>
      <c r="AK23" s="95">
        <v>5</v>
      </c>
      <c r="AL23" s="94" t="s">
        <v>103</v>
      </c>
    </row>
    <row r="24" spans="2:38" ht="14.5" thickBot="1" x14ac:dyDescent="0.35">
      <c r="B24" s="50"/>
      <c r="C24" s="123" t="s">
        <v>112</v>
      </c>
      <c r="D24" s="91">
        <v>1</v>
      </c>
      <c r="E24" s="124" t="s">
        <v>111</v>
      </c>
      <c r="F24" s="124"/>
      <c r="G24" s="124"/>
      <c r="H24" s="96" t="s">
        <v>110</v>
      </c>
      <c r="I24" s="92"/>
      <c r="M24" s="49"/>
      <c r="N24" s="49"/>
      <c r="O24" s="49"/>
      <c r="P24" s="49"/>
      <c r="Q24" s="49"/>
      <c r="R24" s="49"/>
      <c r="AJ24" s="127"/>
      <c r="AK24" s="95">
        <v>7</v>
      </c>
      <c r="AL24" s="94" t="s">
        <v>102</v>
      </c>
    </row>
    <row r="25" spans="2:38" ht="14.5" thickBot="1" x14ac:dyDescent="0.3">
      <c r="B25" s="50"/>
      <c r="C25" s="123"/>
      <c r="D25" s="91">
        <v>2</v>
      </c>
      <c r="E25" s="124" t="s">
        <v>109</v>
      </c>
      <c r="F25" s="124"/>
      <c r="G25" s="124"/>
      <c r="H25" s="92"/>
      <c r="I25" s="92"/>
      <c r="M25" s="70"/>
      <c r="N25" s="70"/>
      <c r="O25" s="70"/>
      <c r="P25" s="70"/>
      <c r="Q25" s="49"/>
      <c r="R25" s="49"/>
      <c r="AJ25" s="125" t="s">
        <v>23</v>
      </c>
      <c r="AK25" s="95">
        <v>1</v>
      </c>
      <c r="AL25" s="94" t="s">
        <v>101</v>
      </c>
    </row>
    <row r="26" spans="2:38" ht="14.5" thickBot="1" x14ac:dyDescent="0.3">
      <c r="B26" s="50"/>
      <c r="C26" s="123"/>
      <c r="D26" s="91">
        <v>3</v>
      </c>
      <c r="E26" s="124" t="s">
        <v>108</v>
      </c>
      <c r="F26" s="124"/>
      <c r="G26" s="124"/>
      <c r="H26" s="92"/>
      <c r="M26" s="49"/>
      <c r="N26" s="49"/>
      <c r="O26" s="49"/>
      <c r="P26" s="49"/>
      <c r="Q26" s="49"/>
      <c r="R26" s="49"/>
      <c r="AJ26" s="126"/>
      <c r="AK26" s="95">
        <v>2</v>
      </c>
      <c r="AL26" s="94" t="s">
        <v>99</v>
      </c>
    </row>
    <row r="27" spans="2:38" ht="14.5" thickBot="1" x14ac:dyDescent="0.35">
      <c r="B27" s="50"/>
      <c r="C27" s="123" t="s">
        <v>107</v>
      </c>
      <c r="D27" s="91">
        <v>1</v>
      </c>
      <c r="E27" s="124" t="s">
        <v>106</v>
      </c>
      <c r="F27" s="124"/>
      <c r="G27" s="124"/>
      <c r="H27" s="93" t="s">
        <v>105</v>
      </c>
      <c r="I27" s="92"/>
      <c r="M27" s="49"/>
      <c r="N27" s="49"/>
      <c r="O27" s="49"/>
      <c r="P27" s="49"/>
      <c r="Q27" s="49"/>
      <c r="R27" s="49"/>
      <c r="AJ27" s="127"/>
      <c r="AK27" s="95">
        <v>3</v>
      </c>
      <c r="AL27" s="94" t="s">
        <v>98</v>
      </c>
    </row>
    <row r="28" spans="2:38" ht="14" x14ac:dyDescent="0.25">
      <c r="B28" s="50"/>
      <c r="C28" s="123"/>
      <c r="D28" s="91">
        <v>2</v>
      </c>
      <c r="E28" s="124" t="s">
        <v>104</v>
      </c>
      <c r="F28" s="124"/>
      <c r="G28" s="124"/>
      <c r="H28" s="92"/>
      <c r="I28" s="92"/>
      <c r="M28" s="49"/>
      <c r="N28" s="49"/>
      <c r="O28" s="49"/>
      <c r="P28" s="49"/>
      <c r="Q28" s="49"/>
      <c r="R28" s="49"/>
    </row>
    <row r="29" spans="2:38" ht="14" x14ac:dyDescent="0.25">
      <c r="B29" s="50"/>
      <c r="C29" s="123"/>
      <c r="D29" s="91">
        <v>5</v>
      </c>
      <c r="E29" s="124" t="s">
        <v>103</v>
      </c>
      <c r="F29" s="124"/>
      <c r="G29" s="124"/>
      <c r="H29" s="92"/>
      <c r="I29" s="92"/>
    </row>
    <row r="30" spans="2:38" ht="14" x14ac:dyDescent="0.25">
      <c r="B30" s="50"/>
      <c r="C30" s="123"/>
      <c r="D30" s="91">
        <v>7</v>
      </c>
      <c r="E30" s="124" t="s">
        <v>102</v>
      </c>
      <c r="F30" s="124"/>
      <c r="G30" s="124"/>
      <c r="H30" s="92"/>
      <c r="I30" s="92"/>
    </row>
    <row r="31" spans="2:38" ht="14" x14ac:dyDescent="0.3">
      <c r="B31" s="50"/>
      <c r="C31" s="123" t="s">
        <v>23</v>
      </c>
      <c r="D31" s="91">
        <v>1</v>
      </c>
      <c r="E31" s="124" t="s">
        <v>101</v>
      </c>
      <c r="F31" s="124"/>
      <c r="G31" s="124"/>
      <c r="H31" s="93" t="s">
        <v>100</v>
      </c>
      <c r="I31" s="92"/>
    </row>
    <row r="32" spans="2:38" ht="14" x14ac:dyDescent="0.25">
      <c r="B32" s="50"/>
      <c r="C32" s="123"/>
      <c r="D32" s="91">
        <v>2</v>
      </c>
      <c r="E32" s="124" t="s">
        <v>99</v>
      </c>
      <c r="F32" s="124"/>
      <c r="G32" s="124"/>
      <c r="H32" s="92"/>
      <c r="I32" s="92"/>
    </row>
    <row r="33" spans="2:12" ht="14" x14ac:dyDescent="0.25">
      <c r="B33" s="50"/>
      <c r="C33" s="123"/>
      <c r="D33" s="91">
        <v>3</v>
      </c>
      <c r="E33" s="124" t="s">
        <v>98</v>
      </c>
      <c r="F33" s="124"/>
      <c r="G33" s="124"/>
    </row>
    <row r="34" spans="2:12" ht="14" x14ac:dyDescent="0.25">
      <c r="B34" s="50"/>
      <c r="C34" s="75"/>
      <c r="D34" s="72"/>
      <c r="E34" s="71"/>
      <c r="F34" s="71"/>
      <c r="G34" s="71"/>
    </row>
    <row r="35" spans="2:12" ht="13" x14ac:dyDescent="0.3">
      <c r="B35" s="50"/>
      <c r="C35" s="90" t="s">
        <v>97</v>
      </c>
      <c r="D35" s="50"/>
      <c r="E35" s="50"/>
      <c r="F35" s="50"/>
      <c r="G35" s="50"/>
      <c r="H35" s="50"/>
      <c r="I35" s="50"/>
      <c r="J35" s="50"/>
      <c r="K35" s="50"/>
      <c r="L35" s="50"/>
    </row>
    <row r="36" spans="2:12" x14ac:dyDescent="0.25">
      <c r="B36" s="50"/>
      <c r="C36" s="50" t="s">
        <v>96</v>
      </c>
      <c r="D36" s="50"/>
      <c r="E36" s="50"/>
      <c r="F36" s="50"/>
      <c r="G36" s="50"/>
      <c r="H36" s="50"/>
      <c r="I36" s="50"/>
      <c r="J36" s="50"/>
      <c r="K36" s="50"/>
      <c r="L36" s="50"/>
    </row>
    <row r="37" spans="2:12" x14ac:dyDescent="0.25">
      <c r="B37" s="50"/>
      <c r="C37" s="89" t="s">
        <v>95</v>
      </c>
      <c r="D37" s="50"/>
      <c r="E37" s="50"/>
      <c r="F37" s="50"/>
      <c r="G37" s="50"/>
      <c r="H37" s="50"/>
      <c r="I37" s="50"/>
      <c r="J37" s="50"/>
      <c r="K37" s="50"/>
      <c r="L37" s="50"/>
    </row>
    <row r="38" spans="2:12" x14ac:dyDescent="0.25">
      <c r="B38" s="50"/>
      <c r="C38" s="89" t="s">
        <v>94</v>
      </c>
      <c r="D38" s="50"/>
      <c r="E38" s="50"/>
      <c r="F38" s="50"/>
      <c r="G38" s="50"/>
      <c r="H38" s="50"/>
      <c r="I38" s="50"/>
      <c r="J38" s="50"/>
      <c r="K38" s="50"/>
      <c r="L38" s="50"/>
    </row>
    <row r="39" spans="2:12" x14ac:dyDescent="0.25">
      <c r="B39" s="50"/>
      <c r="C39" s="50" t="s">
        <v>93</v>
      </c>
      <c r="D39" s="50"/>
      <c r="E39" s="50"/>
      <c r="F39" s="50"/>
      <c r="G39" s="50"/>
      <c r="H39" s="50"/>
      <c r="I39" s="50"/>
      <c r="J39" s="50"/>
      <c r="K39" s="50"/>
      <c r="L39" s="50"/>
    </row>
    <row r="40" spans="2:12" x14ac:dyDescent="0.25">
      <c r="B40" s="50"/>
      <c r="C40" s="50" t="s">
        <v>92</v>
      </c>
      <c r="D40" s="50"/>
      <c r="E40" s="50"/>
      <c r="F40" s="50"/>
      <c r="G40" s="50"/>
      <c r="H40" s="50"/>
      <c r="I40" s="50"/>
      <c r="J40" s="50"/>
      <c r="K40" s="50"/>
      <c r="L40" s="50"/>
    </row>
    <row r="41" spans="2:12" x14ac:dyDescent="0.25">
      <c r="B41" s="50"/>
      <c r="C41" s="50" t="s">
        <v>91</v>
      </c>
      <c r="D41" s="50"/>
      <c r="E41" s="50"/>
      <c r="F41" s="50"/>
      <c r="G41" s="50"/>
      <c r="H41" s="50"/>
      <c r="I41" s="50"/>
      <c r="J41" s="50"/>
      <c r="K41" s="50"/>
      <c r="L41" s="50"/>
    </row>
    <row r="42" spans="2:12" ht="13" thickBot="1" x14ac:dyDescent="0.3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2:12" x14ac:dyDescent="0.25">
      <c r="B43" s="50"/>
      <c r="C43" s="88" t="s">
        <v>90</v>
      </c>
      <c r="D43" s="68" t="s">
        <v>89</v>
      </c>
      <c r="E43" s="67" t="s">
        <v>88</v>
      </c>
      <c r="F43" s="87" t="s">
        <v>87</v>
      </c>
      <c r="G43" s="70"/>
      <c r="H43" s="70"/>
      <c r="I43" s="70"/>
      <c r="J43" s="70"/>
    </row>
    <row r="44" spans="2:12" x14ac:dyDescent="0.25">
      <c r="B44" s="50"/>
      <c r="C44" s="86" t="s">
        <v>86</v>
      </c>
      <c r="D44" s="85"/>
      <c r="E44" s="84"/>
      <c r="F44" s="83"/>
      <c r="G44" s="78"/>
      <c r="H44" s="78"/>
      <c r="I44" s="49"/>
      <c r="J44" s="49"/>
    </row>
    <row r="45" spans="2:12" x14ac:dyDescent="0.25">
      <c r="B45" s="50"/>
      <c r="C45" s="82" t="s">
        <v>85</v>
      </c>
      <c r="D45" s="60">
        <v>1</v>
      </c>
      <c r="E45" s="59">
        <v>3</v>
      </c>
      <c r="F45" s="81">
        <f>D45*E45</f>
        <v>3</v>
      </c>
      <c r="G45" s="78"/>
      <c r="H45" s="78"/>
      <c r="I45" s="49"/>
      <c r="J45" s="49"/>
    </row>
    <row r="46" spans="2:12" x14ac:dyDescent="0.25">
      <c r="B46" s="50"/>
      <c r="C46" s="82" t="s">
        <v>84</v>
      </c>
      <c r="D46" s="60">
        <v>2</v>
      </c>
      <c r="E46" s="59">
        <v>2</v>
      </c>
      <c r="F46" s="81">
        <f>D46*E46</f>
        <v>4</v>
      </c>
      <c r="G46" s="78"/>
      <c r="H46" s="78"/>
      <c r="I46" s="49"/>
      <c r="J46" s="49"/>
    </row>
    <row r="47" spans="2:12" x14ac:dyDescent="0.25">
      <c r="B47" s="50"/>
      <c r="C47" s="82" t="s">
        <v>83</v>
      </c>
      <c r="D47" s="60">
        <v>3</v>
      </c>
      <c r="E47" s="59">
        <v>1</v>
      </c>
      <c r="F47" s="81">
        <f>D47*E47</f>
        <v>3</v>
      </c>
      <c r="G47" s="78"/>
      <c r="H47" s="78"/>
      <c r="I47" s="49"/>
      <c r="J47" s="49"/>
    </row>
    <row r="48" spans="2:12" x14ac:dyDescent="0.25">
      <c r="B48" s="50"/>
      <c r="C48" s="82" t="s">
        <v>82</v>
      </c>
      <c r="D48" s="60">
        <v>3</v>
      </c>
      <c r="E48" s="59">
        <v>2</v>
      </c>
      <c r="F48" s="81">
        <f>D48*E48</f>
        <v>6</v>
      </c>
      <c r="G48" s="78"/>
      <c r="H48" s="78"/>
      <c r="I48" s="49"/>
      <c r="J48" s="49"/>
    </row>
    <row r="49" spans="2:15" ht="13" thickBot="1" x14ac:dyDescent="0.3">
      <c r="B49" s="50"/>
      <c r="C49" s="80" t="s">
        <v>81</v>
      </c>
      <c r="D49" s="53">
        <v>1</v>
      </c>
      <c r="E49" s="52">
        <v>2</v>
      </c>
      <c r="F49" s="79">
        <f>D49*E49</f>
        <v>2</v>
      </c>
      <c r="G49" s="78"/>
      <c r="H49" s="78"/>
      <c r="I49" s="49"/>
      <c r="J49" s="49"/>
    </row>
    <row r="50" spans="2:15" x14ac:dyDescent="0.25">
      <c r="B50" s="50"/>
    </row>
    <row r="51" spans="2:15" x14ac:dyDescent="0.25">
      <c r="B51" s="50"/>
      <c r="C51" s="129" t="s">
        <v>80</v>
      </c>
      <c r="D51" s="121"/>
      <c r="E51" s="121"/>
      <c r="F51" s="121"/>
      <c r="G51" s="121"/>
      <c r="H51" s="121"/>
      <c r="I51" s="121"/>
      <c r="J51" s="121"/>
      <c r="K51" s="121"/>
      <c r="L51" s="121"/>
    </row>
    <row r="52" spans="2:15" x14ac:dyDescent="0.25">
      <c r="B52" s="50"/>
      <c r="C52" s="77">
        <v>3</v>
      </c>
      <c r="D52" s="120" t="s">
        <v>79</v>
      </c>
      <c r="E52" s="120"/>
      <c r="F52" s="120"/>
      <c r="G52" s="120"/>
      <c r="H52" s="120"/>
      <c r="I52" s="120"/>
      <c r="J52" s="120"/>
      <c r="K52" s="120"/>
      <c r="L52" s="120"/>
    </row>
    <row r="53" spans="2:15" x14ac:dyDescent="0.25">
      <c r="B53" s="50"/>
      <c r="C53" s="130">
        <v>2</v>
      </c>
      <c r="D53" s="131" t="s">
        <v>78</v>
      </c>
      <c r="E53" s="131"/>
      <c r="F53" s="131"/>
      <c r="G53" s="131"/>
      <c r="H53" s="131"/>
      <c r="I53" s="131"/>
      <c r="J53" s="131"/>
      <c r="K53" s="131"/>
      <c r="L53" s="131"/>
    </row>
    <row r="54" spans="2:15" x14ac:dyDescent="0.25">
      <c r="B54" s="50"/>
      <c r="C54" s="130"/>
      <c r="D54" s="132" t="s">
        <v>77</v>
      </c>
      <c r="E54" s="132"/>
      <c r="F54" s="132"/>
      <c r="G54" s="132"/>
      <c r="H54" s="132"/>
      <c r="I54" s="132"/>
      <c r="J54" s="132"/>
      <c r="K54" s="132"/>
      <c r="L54" s="132"/>
    </row>
    <row r="55" spans="2:15" x14ac:dyDescent="0.25">
      <c r="B55" s="50"/>
      <c r="C55" s="77">
        <v>1</v>
      </c>
      <c r="D55" s="120" t="s">
        <v>76</v>
      </c>
      <c r="E55" s="120"/>
      <c r="F55" s="120"/>
      <c r="G55" s="120"/>
      <c r="H55" s="120"/>
      <c r="I55" s="120"/>
      <c r="J55" s="120"/>
      <c r="K55" s="120"/>
      <c r="L55" s="120"/>
    </row>
    <row r="56" spans="2:15" x14ac:dyDescent="0.25">
      <c r="B56" s="50"/>
      <c r="C56" s="121" t="s">
        <v>75</v>
      </c>
      <c r="D56" s="121"/>
      <c r="E56" s="121"/>
      <c r="F56" s="121"/>
      <c r="G56" s="121"/>
      <c r="H56" s="121"/>
      <c r="I56" s="121"/>
      <c r="J56" s="121"/>
      <c r="K56" s="121"/>
      <c r="L56" s="121"/>
    </row>
    <row r="57" spans="2:15" x14ac:dyDescent="0.25">
      <c r="B57" s="50"/>
      <c r="C57" s="76">
        <v>3</v>
      </c>
      <c r="D57" s="122" t="s">
        <v>74</v>
      </c>
      <c r="E57" s="122"/>
      <c r="F57" s="122"/>
      <c r="G57" s="122"/>
      <c r="H57" s="122"/>
      <c r="I57" s="122"/>
      <c r="J57" s="122"/>
      <c r="K57" s="122"/>
      <c r="L57" s="122"/>
    </row>
    <row r="58" spans="2:15" x14ac:dyDescent="0.25">
      <c r="B58" s="50"/>
      <c r="C58" s="76">
        <v>2</v>
      </c>
      <c r="D58" s="122" t="s">
        <v>73</v>
      </c>
      <c r="E58" s="122"/>
      <c r="F58" s="122"/>
      <c r="G58" s="122"/>
      <c r="H58" s="122"/>
      <c r="I58" s="122"/>
      <c r="J58" s="122"/>
      <c r="K58" s="122"/>
      <c r="L58" s="122"/>
    </row>
    <row r="59" spans="2:15" x14ac:dyDescent="0.25">
      <c r="B59" s="50"/>
      <c r="C59" s="76">
        <v>1</v>
      </c>
      <c r="D59" s="122" t="s">
        <v>72</v>
      </c>
      <c r="E59" s="122"/>
      <c r="F59" s="122"/>
      <c r="G59" s="122"/>
      <c r="H59" s="122"/>
      <c r="I59" s="122"/>
      <c r="J59" s="122"/>
      <c r="K59" s="122"/>
      <c r="L59" s="122"/>
    </row>
    <row r="60" spans="2:15" ht="14" x14ac:dyDescent="0.25">
      <c r="B60" s="50"/>
      <c r="C60" s="75"/>
      <c r="D60" s="72"/>
      <c r="E60" s="71"/>
      <c r="F60" s="71"/>
      <c r="G60" s="71"/>
    </row>
    <row r="61" spans="2:15" ht="14" x14ac:dyDescent="0.3">
      <c r="B61" s="50"/>
      <c r="C61" s="74" t="s">
        <v>71</v>
      </c>
      <c r="D61" s="72"/>
      <c r="E61" s="71"/>
      <c r="F61" s="71"/>
      <c r="G61" s="71"/>
    </row>
    <row r="62" spans="2:15" ht="14.5" thickBot="1" x14ac:dyDescent="0.3">
      <c r="B62" s="50"/>
      <c r="C62" s="73" t="s">
        <v>70</v>
      </c>
      <c r="D62" s="72"/>
      <c r="E62" s="71"/>
      <c r="F62" s="71"/>
      <c r="G62" s="71"/>
    </row>
    <row r="63" spans="2:15" x14ac:dyDescent="0.25">
      <c r="B63" s="50"/>
      <c r="C63" s="69" t="s">
        <v>69</v>
      </c>
      <c r="D63" s="68" t="s">
        <v>68</v>
      </c>
      <c r="E63" s="67" t="s">
        <v>67</v>
      </c>
      <c r="F63" s="67" t="s">
        <v>66</v>
      </c>
      <c r="G63" s="67" t="s">
        <v>65</v>
      </c>
      <c r="H63" s="66" t="s">
        <v>64</v>
      </c>
      <c r="I63" s="70"/>
      <c r="J63" s="69" t="s">
        <v>69</v>
      </c>
      <c r="K63" s="68" t="s">
        <v>68</v>
      </c>
      <c r="L63" s="67" t="s">
        <v>67</v>
      </c>
      <c r="M63" s="67" t="s">
        <v>66</v>
      </c>
      <c r="N63" s="67" t="s">
        <v>65</v>
      </c>
      <c r="O63" s="66" t="s">
        <v>64</v>
      </c>
    </row>
    <row r="64" spans="2:15" x14ac:dyDescent="0.25">
      <c r="B64" s="50"/>
      <c r="C64" s="65" t="s">
        <v>63</v>
      </c>
      <c r="D64" s="64"/>
      <c r="E64" s="63"/>
      <c r="F64" s="63"/>
      <c r="G64" s="63"/>
      <c r="H64" s="62"/>
      <c r="I64" s="49"/>
      <c r="J64" s="65" t="s">
        <v>63</v>
      </c>
      <c r="K64" s="64"/>
      <c r="L64" s="63"/>
      <c r="M64" s="63"/>
      <c r="N64" s="63"/>
      <c r="O64" s="62"/>
    </row>
    <row r="65" spans="2:17" x14ac:dyDescent="0.25">
      <c r="B65" s="50"/>
      <c r="C65" s="61" t="s">
        <v>62</v>
      </c>
      <c r="D65" s="64">
        <f>K8*$F$45</f>
        <v>18</v>
      </c>
      <c r="E65" s="63">
        <f>K8*$F$46</f>
        <v>24</v>
      </c>
      <c r="F65" s="63">
        <f>K8*$F$47</f>
        <v>18</v>
      </c>
      <c r="G65" s="63">
        <f>K8*$F$48</f>
        <v>36</v>
      </c>
      <c r="H65" s="62">
        <f>K8*$F$49</f>
        <v>12</v>
      </c>
      <c r="I65" s="49"/>
      <c r="J65" s="61" t="s">
        <v>62</v>
      </c>
      <c r="K65" s="60" t="s">
        <v>57</v>
      </c>
      <c r="L65" s="59"/>
      <c r="M65" s="59"/>
      <c r="N65" s="59" t="s">
        <v>57</v>
      </c>
      <c r="O65" s="58" t="s">
        <v>57</v>
      </c>
    </row>
    <row r="66" spans="2:17" x14ac:dyDescent="0.25">
      <c r="B66" s="50"/>
      <c r="C66" s="61" t="s">
        <v>61</v>
      </c>
      <c r="D66" s="64">
        <f>K9*$F$45</f>
        <v>108</v>
      </c>
      <c r="E66" s="63">
        <f>K9*$F$46</f>
        <v>144</v>
      </c>
      <c r="F66" s="63">
        <f>K9*$F$47</f>
        <v>108</v>
      </c>
      <c r="G66" s="63">
        <f>K9*$F$48</f>
        <v>216</v>
      </c>
      <c r="H66" s="62">
        <f>K9*$F$49</f>
        <v>72</v>
      </c>
      <c r="I66" s="49"/>
      <c r="J66" s="61" t="s">
        <v>61</v>
      </c>
      <c r="K66" s="60" t="s">
        <v>57</v>
      </c>
      <c r="L66" s="59"/>
      <c r="M66" s="59" t="s">
        <v>57</v>
      </c>
      <c r="N66" s="59"/>
      <c r="O66" s="58"/>
    </row>
    <row r="67" spans="2:17" x14ac:dyDescent="0.25">
      <c r="B67" s="50"/>
      <c r="C67" s="61" t="s">
        <v>60</v>
      </c>
      <c r="D67" s="64">
        <f>K10*$F$45</f>
        <v>972</v>
      </c>
      <c r="E67" s="63">
        <f>K10*$F$46</f>
        <v>1296</v>
      </c>
      <c r="F67" s="63">
        <f>K10*$F$47</f>
        <v>972</v>
      </c>
      <c r="G67" s="63">
        <f>K10*$F$48</f>
        <v>1944</v>
      </c>
      <c r="H67" s="62">
        <f>K10*$F$49</f>
        <v>648</v>
      </c>
      <c r="I67" s="49"/>
      <c r="J67" s="61" t="s">
        <v>60</v>
      </c>
      <c r="K67" s="60"/>
      <c r="L67" s="59" t="s">
        <v>57</v>
      </c>
      <c r="M67" s="59" t="s">
        <v>57</v>
      </c>
      <c r="N67" s="59"/>
      <c r="O67" s="58" t="s">
        <v>57</v>
      </c>
    </row>
    <row r="68" spans="2:17" x14ac:dyDescent="0.25">
      <c r="B68" s="50"/>
      <c r="C68" s="61" t="s">
        <v>59</v>
      </c>
      <c r="D68" s="64">
        <f>K11*$F$45</f>
        <v>216</v>
      </c>
      <c r="E68" s="63">
        <f>K11*$F$46</f>
        <v>288</v>
      </c>
      <c r="F68" s="63">
        <f>K11*$F$47</f>
        <v>216</v>
      </c>
      <c r="G68" s="63">
        <f>K11*$F$48</f>
        <v>432</v>
      </c>
      <c r="H68" s="62">
        <f>K11*$F$49</f>
        <v>144</v>
      </c>
      <c r="I68" s="49"/>
      <c r="J68" s="61" t="s">
        <v>59</v>
      </c>
      <c r="K68" s="60"/>
      <c r="L68" s="59" t="s">
        <v>57</v>
      </c>
      <c r="M68" s="59"/>
      <c r="N68" s="59" t="s">
        <v>57</v>
      </c>
      <c r="O68" s="58"/>
    </row>
    <row r="69" spans="2:17" ht="13" thickBot="1" x14ac:dyDescent="0.3">
      <c r="B69" s="50"/>
      <c r="C69" s="54" t="s">
        <v>58</v>
      </c>
      <c r="D69" s="57">
        <f>K12*$F$45</f>
        <v>36</v>
      </c>
      <c r="E69" s="56">
        <f>K12*$F$46</f>
        <v>48</v>
      </c>
      <c r="F69" s="56">
        <f>K12*$F$47</f>
        <v>36</v>
      </c>
      <c r="G69" s="56">
        <f>K12*$F$48</f>
        <v>72</v>
      </c>
      <c r="H69" s="55">
        <f>K12*$F$49</f>
        <v>24</v>
      </c>
      <c r="I69" s="49"/>
      <c r="J69" s="54" t="s">
        <v>58</v>
      </c>
      <c r="K69" s="53" t="s">
        <v>57</v>
      </c>
      <c r="L69" s="52" t="s">
        <v>57</v>
      </c>
      <c r="M69" s="52"/>
      <c r="N69" s="52" t="s">
        <v>57</v>
      </c>
      <c r="O69" s="51"/>
    </row>
    <row r="70" spans="2:17" ht="13" x14ac:dyDescent="0.3">
      <c r="B70" s="50"/>
      <c r="C70" s="48" t="s">
        <v>56</v>
      </c>
      <c r="D70" s="49"/>
      <c r="E70" s="49"/>
      <c r="F70" s="49"/>
      <c r="G70" s="49"/>
      <c r="H70" s="49"/>
      <c r="I70" s="49"/>
      <c r="J70" s="48" t="s">
        <v>56</v>
      </c>
    </row>
    <row r="71" spans="2:17" ht="14" x14ac:dyDescent="0.25">
      <c r="B71" s="44"/>
      <c r="C71" s="47"/>
      <c r="D71" s="46"/>
      <c r="E71" s="45"/>
      <c r="F71" s="45"/>
      <c r="G71" s="45"/>
      <c r="H71" s="44"/>
      <c r="I71" s="44"/>
      <c r="J71" s="44"/>
      <c r="K71" s="44"/>
      <c r="L71" s="44"/>
      <c r="M71" s="44"/>
      <c r="N71" s="44"/>
      <c r="O71" s="44"/>
      <c r="P71" s="44"/>
      <c r="Q71" s="44"/>
    </row>
    <row r="72" spans="2:17" ht="14.5" x14ac:dyDescent="0.35">
      <c r="B72" s="43"/>
      <c r="C72"/>
      <c r="D72"/>
      <c r="E72"/>
      <c r="F72"/>
      <c r="G72" s="25"/>
      <c r="H72" s="25"/>
      <c r="I72" s="25"/>
      <c r="J72" s="25"/>
      <c r="K72" s="24"/>
      <c r="L72"/>
    </row>
    <row r="73" spans="2:17" ht="14.5" x14ac:dyDescent="0.35">
      <c r="B73" s="42" t="s">
        <v>55</v>
      </c>
      <c r="C73" s="42"/>
      <c r="D73" s="40" t="s">
        <v>54</v>
      </c>
      <c r="E73" s="40" t="s">
        <v>53</v>
      </c>
      <c r="F73" s="40" t="s">
        <v>52</v>
      </c>
      <c r="G73" s="41" t="s">
        <v>51</v>
      </c>
      <c r="H73" s="40" t="s">
        <v>50</v>
      </c>
      <c r="I73" s="40" t="s">
        <v>49</v>
      </c>
      <c r="J73" s="39" t="s">
        <v>48</v>
      </c>
      <c r="K73" s="39" t="s">
        <v>47</v>
      </c>
      <c r="M73"/>
    </row>
    <row r="74" spans="2:17" ht="14.5" x14ac:dyDescent="0.35">
      <c r="B74" s="37" t="s">
        <v>46</v>
      </c>
      <c r="C74" s="37"/>
      <c r="D74" s="112" t="s">
        <v>43</v>
      </c>
      <c r="E74" s="112" t="s">
        <v>38</v>
      </c>
      <c r="F74" s="112">
        <v>450</v>
      </c>
      <c r="G74" s="113">
        <v>600</v>
      </c>
      <c r="H74" s="112">
        <v>1</v>
      </c>
      <c r="I74" s="38">
        <f t="shared" ref="I74:I79" si="0">H74*G74</f>
        <v>600</v>
      </c>
      <c r="J74" s="34">
        <f>(PI()*F74*I74) +(PI()*((F74/2)^2))</f>
        <v>1007273.1445572274</v>
      </c>
      <c r="K74" s="33">
        <f>J74/1000000</f>
        <v>1.0072731445572274</v>
      </c>
      <c r="M74"/>
    </row>
    <row r="75" spans="2:17" ht="14.5" x14ac:dyDescent="0.35">
      <c r="B75" s="37" t="s">
        <v>45</v>
      </c>
      <c r="C75" s="37"/>
      <c r="D75" s="112" t="s">
        <v>39</v>
      </c>
      <c r="E75" s="112" t="s">
        <v>38</v>
      </c>
      <c r="F75" s="112">
        <v>150</v>
      </c>
      <c r="G75" s="113">
        <v>50</v>
      </c>
      <c r="H75" s="112">
        <v>1</v>
      </c>
      <c r="I75" s="38">
        <f t="shared" si="0"/>
        <v>50</v>
      </c>
      <c r="J75" s="34">
        <f t="shared" ref="J75:J79" si="1">(PI()*F75*I75) +(PI()*((F75/2)^2))</f>
        <v>41233.403578366037</v>
      </c>
      <c r="K75" s="33">
        <f t="shared" ref="K75:K79" si="2">J75/1000000</f>
        <v>4.1233403578366037E-2</v>
      </c>
      <c r="M75"/>
    </row>
    <row r="76" spans="2:17" ht="14.5" x14ac:dyDescent="0.35">
      <c r="B76" s="37" t="s">
        <v>44</v>
      </c>
      <c r="C76" s="37"/>
      <c r="D76" s="112" t="s">
        <v>43</v>
      </c>
      <c r="E76" s="112" t="s">
        <v>38</v>
      </c>
      <c r="F76" s="112">
        <v>250</v>
      </c>
      <c r="G76" s="113">
        <v>1200</v>
      </c>
      <c r="H76" s="112">
        <v>1</v>
      </c>
      <c r="I76" s="38">
        <f t="shared" si="0"/>
        <v>1200</v>
      </c>
      <c r="J76" s="34">
        <f t="shared" si="1"/>
        <v>991565.18128927844</v>
      </c>
      <c r="K76" s="33">
        <f t="shared" si="2"/>
        <v>0.9915651812892784</v>
      </c>
      <c r="M76"/>
    </row>
    <row r="77" spans="2:17" ht="14.5" x14ac:dyDescent="0.35">
      <c r="B77" s="37" t="s">
        <v>42</v>
      </c>
      <c r="C77" s="37"/>
      <c r="D77" s="112" t="s">
        <v>39</v>
      </c>
      <c r="E77" s="112" t="s">
        <v>38</v>
      </c>
      <c r="F77" s="112">
        <v>10</v>
      </c>
      <c r="G77" s="113">
        <v>200</v>
      </c>
      <c r="H77" s="112">
        <v>5</v>
      </c>
      <c r="I77" s="38">
        <f t="shared" si="0"/>
        <v>1000</v>
      </c>
      <c r="J77" s="34">
        <f t="shared" si="1"/>
        <v>31494.466352237676</v>
      </c>
      <c r="K77" s="33">
        <f t="shared" si="2"/>
        <v>3.1494466352237675E-2</v>
      </c>
      <c r="M77"/>
    </row>
    <row r="78" spans="2:17" ht="14.5" x14ac:dyDescent="0.35">
      <c r="B78" s="37" t="s">
        <v>41</v>
      </c>
      <c r="C78" s="37"/>
      <c r="D78" s="112" t="s">
        <v>39</v>
      </c>
      <c r="E78" s="112" t="s">
        <v>38</v>
      </c>
      <c r="F78" s="112">
        <v>10</v>
      </c>
      <c r="G78" s="113">
        <v>340</v>
      </c>
      <c r="H78" s="112">
        <v>5</v>
      </c>
      <c r="I78" s="38">
        <f t="shared" si="0"/>
        <v>1700</v>
      </c>
      <c r="J78" s="34">
        <f t="shared" si="1"/>
        <v>53485.61492736623</v>
      </c>
      <c r="K78" s="33">
        <f t="shared" si="2"/>
        <v>5.3485614927366233E-2</v>
      </c>
      <c r="M78"/>
    </row>
    <row r="79" spans="2:17" ht="14.5" x14ac:dyDescent="0.35">
      <c r="B79" s="37" t="s">
        <v>40</v>
      </c>
      <c r="C79" s="37"/>
      <c r="D79" s="112" t="s">
        <v>39</v>
      </c>
      <c r="E79" s="112" t="s">
        <v>38</v>
      </c>
      <c r="F79" s="112">
        <v>3</v>
      </c>
      <c r="G79" s="113">
        <v>200</v>
      </c>
      <c r="H79" s="112">
        <v>5</v>
      </c>
      <c r="I79" s="36">
        <f t="shared" si="0"/>
        <v>1000</v>
      </c>
      <c r="J79" s="34">
        <f t="shared" si="1"/>
        <v>9431.8465442399556</v>
      </c>
      <c r="K79" s="33">
        <f t="shared" si="2"/>
        <v>9.4318465442399559E-3</v>
      </c>
      <c r="M79"/>
    </row>
    <row r="80" spans="2:17" ht="14.5" x14ac:dyDescent="0.35">
      <c r="B80" s="35"/>
      <c r="C80" s="35"/>
      <c r="D80" s="32"/>
      <c r="E80" s="32"/>
      <c r="F80" s="32"/>
      <c r="G80" s="32"/>
      <c r="H80" s="32"/>
      <c r="I80" s="29" t="s">
        <v>37</v>
      </c>
      <c r="J80" s="34">
        <f>SUM(J74:J79)</f>
        <v>2134483.6572487159</v>
      </c>
      <c r="K80" s="33">
        <f>SUM(K74:K79)</f>
        <v>2.1344836572487154</v>
      </c>
      <c r="M80"/>
    </row>
    <row r="81" spans="2:13" ht="14.5" x14ac:dyDescent="0.35">
      <c r="B81" s="2"/>
      <c r="C81" s="2"/>
      <c r="D81" s="31"/>
      <c r="E81" s="31"/>
      <c r="F81" s="32"/>
      <c r="G81" s="31"/>
      <c r="H81" s="32"/>
      <c r="I81" s="29" t="s">
        <v>36</v>
      </c>
      <c r="J81" s="34">
        <f>0.05*J80</f>
        <v>106724.1828624358</v>
      </c>
      <c r="K81" s="33">
        <f>0.05*K80</f>
        <v>0.10672418286243578</v>
      </c>
      <c r="M81"/>
    </row>
    <row r="82" spans="2:13" ht="14.5" x14ac:dyDescent="0.35">
      <c r="B82" s="2"/>
      <c r="C82" s="2"/>
      <c r="D82" s="31"/>
      <c r="E82" s="31"/>
      <c r="F82" s="32"/>
      <c r="G82" s="31"/>
      <c r="H82" s="30"/>
      <c r="I82" s="29" t="s">
        <v>35</v>
      </c>
      <c r="J82" s="28">
        <f>J81+J80</f>
        <v>2241207.8401111518</v>
      </c>
      <c r="K82" s="27">
        <f>J82/1000000</f>
        <v>2.2412078401111519</v>
      </c>
      <c r="M82" s="26"/>
    </row>
    <row r="83" spans="2:13" ht="14.5" x14ac:dyDescent="0.35">
      <c r="B83"/>
      <c r="C83"/>
      <c r="D83"/>
      <c r="E83"/>
      <c r="F83"/>
      <c r="G83" s="25"/>
      <c r="H83" s="25"/>
      <c r="I83" s="25"/>
      <c r="J83" s="25"/>
      <c r="K83" s="24"/>
      <c r="L83"/>
    </row>
    <row r="84" spans="2:13" ht="14.5" x14ac:dyDescent="0.35">
      <c r="B84" s="23" t="s">
        <v>34</v>
      </c>
      <c r="C84"/>
      <c r="D84"/>
      <c r="E84"/>
      <c r="F84"/>
      <c r="G84"/>
      <c r="H84"/>
      <c r="I84"/>
      <c r="J84"/>
      <c r="K84"/>
    </row>
    <row r="85" spans="2:13" ht="14.5" x14ac:dyDescent="0.35">
      <c r="B85" s="22" t="s">
        <v>33</v>
      </c>
      <c r="C85" s="20"/>
      <c r="D85" s="20"/>
      <c r="E85" s="20"/>
      <c r="F85" s="20"/>
      <c r="G85" s="20"/>
      <c r="H85" s="20"/>
      <c r="I85" s="20"/>
      <c r="J85" s="20"/>
      <c r="K85" s="20"/>
    </row>
    <row r="86" spans="2:13" ht="14.5" x14ac:dyDescent="0.35">
      <c r="B86" s="21" t="s">
        <v>32</v>
      </c>
      <c r="C86" s="112">
        <f>6*1200</f>
        <v>7200</v>
      </c>
      <c r="D86" s="20" t="s">
        <v>31</v>
      </c>
      <c r="E86" s="20"/>
      <c r="F86" s="20"/>
      <c r="G86" s="21" t="s">
        <v>21</v>
      </c>
      <c r="H86" s="3">
        <v>0.01</v>
      </c>
      <c r="I86" s="3">
        <v>2.5000000000000001E-3</v>
      </c>
      <c r="J86" s="3" t="s">
        <v>5</v>
      </c>
      <c r="K86" s="20"/>
    </row>
    <row r="87" spans="2:13" ht="14.5" x14ac:dyDescent="0.35">
      <c r="B87" s="21" t="s">
        <v>9</v>
      </c>
      <c r="C87" s="3">
        <f>C86*10/1000</f>
        <v>72</v>
      </c>
      <c r="D87" s="20" t="s">
        <v>8</v>
      </c>
      <c r="E87" s="20"/>
      <c r="F87" s="20"/>
      <c r="G87" s="21" t="s">
        <v>19</v>
      </c>
      <c r="H87" s="114">
        <v>0.5</v>
      </c>
      <c r="I87" s="114">
        <v>0.5</v>
      </c>
      <c r="J87" s="3" t="s">
        <v>18</v>
      </c>
      <c r="K87" s="20"/>
    </row>
    <row r="88" spans="2:13" ht="14.5" x14ac:dyDescent="0.35">
      <c r="B88" s="21" t="s">
        <v>6</v>
      </c>
      <c r="C88" s="6">
        <f>K82</f>
        <v>2.2412078401111519</v>
      </c>
      <c r="D88" s="20" t="s">
        <v>5</v>
      </c>
      <c r="E88" s="20"/>
      <c r="F88" s="20"/>
      <c r="G88" s="21" t="s">
        <v>30</v>
      </c>
      <c r="H88" s="3">
        <v>10</v>
      </c>
      <c r="I88" s="3">
        <v>10</v>
      </c>
      <c r="J88" s="3" t="s">
        <v>14</v>
      </c>
      <c r="K88" s="20"/>
    </row>
    <row r="89" spans="2:13" ht="14.5" x14ac:dyDescent="0.35">
      <c r="B89" s="21" t="s">
        <v>3</v>
      </c>
      <c r="C89" s="5">
        <f>C87/C88</f>
        <v>32.125534594073699</v>
      </c>
      <c r="D89" s="20" t="s">
        <v>2</v>
      </c>
      <c r="E89" s="20"/>
      <c r="F89" s="20"/>
      <c r="G89" s="21" t="s">
        <v>11</v>
      </c>
      <c r="H89" s="9">
        <f>C89*H86*H87/H88</f>
        <v>1.6062767297036852E-2</v>
      </c>
      <c r="I89" s="9">
        <f>C89*I86*I87/I88</f>
        <v>4.015691824259213E-3</v>
      </c>
      <c r="J89" s="3" t="s">
        <v>10</v>
      </c>
      <c r="K89" s="20"/>
    </row>
    <row r="90" spans="2:13" ht="14.5" x14ac:dyDescent="0.35">
      <c r="B90" s="20"/>
      <c r="C90" s="20"/>
      <c r="D90" s="20"/>
      <c r="E90" s="20"/>
      <c r="F90" s="20"/>
      <c r="G90" s="21" t="s">
        <v>7</v>
      </c>
      <c r="H90" s="7">
        <f>H89*1000</f>
        <v>16.062767297036853</v>
      </c>
      <c r="I90" s="7">
        <f>I89*1000</f>
        <v>4.0156918242592132</v>
      </c>
      <c r="J90" s="3" t="s">
        <v>0</v>
      </c>
      <c r="K90" s="20"/>
    </row>
    <row r="91" spans="2:13" ht="14.5" x14ac:dyDescent="0.35">
      <c r="B91" s="20" t="s">
        <v>29</v>
      </c>
      <c r="C91" s="20"/>
      <c r="D91" s="20"/>
      <c r="E91" s="20"/>
      <c r="F91" s="20"/>
      <c r="G91" s="21" t="s">
        <v>4</v>
      </c>
      <c r="H91" s="116">
        <v>0.03</v>
      </c>
      <c r="I91" s="117"/>
      <c r="J91" s="3" t="s">
        <v>0</v>
      </c>
      <c r="K91" s="20"/>
    </row>
    <row r="92" spans="2:13" ht="14.5" x14ac:dyDescent="0.35">
      <c r="B92" s="20" t="s">
        <v>28</v>
      </c>
      <c r="C92" s="20"/>
      <c r="D92" s="20"/>
      <c r="E92" s="20"/>
      <c r="F92" s="20"/>
      <c r="G92" s="21" t="s">
        <v>1</v>
      </c>
      <c r="H92" s="118">
        <f>H91*3.3</f>
        <v>9.8999999999999991E-2</v>
      </c>
      <c r="I92" s="119"/>
      <c r="J92" s="3" t="s">
        <v>0</v>
      </c>
      <c r="K92" s="20"/>
    </row>
    <row r="93" spans="2:13" ht="14.5" x14ac:dyDescent="0.35"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2:13" ht="14.5" x14ac:dyDescent="0.35">
      <c r="B94"/>
      <c r="C94"/>
      <c r="D94"/>
      <c r="E94"/>
      <c r="F94"/>
      <c r="G94"/>
      <c r="H94"/>
      <c r="I94"/>
      <c r="J94"/>
      <c r="K94"/>
    </row>
    <row r="95" spans="2:13" ht="14.5" x14ac:dyDescent="0.35">
      <c r="B95" s="19" t="s">
        <v>27</v>
      </c>
      <c r="C95" s="18"/>
      <c r="D95" s="13"/>
      <c r="E95" s="13"/>
      <c r="F95" s="13"/>
      <c r="G95" s="13"/>
      <c r="H95" s="13"/>
      <c r="I95" s="13"/>
      <c r="J95" s="13"/>
      <c r="K95" s="13"/>
    </row>
    <row r="96" spans="2:13" ht="14.5" x14ac:dyDescent="0.35">
      <c r="B96" s="16" t="s">
        <v>26</v>
      </c>
      <c r="C96" s="115">
        <v>2.7</v>
      </c>
      <c r="D96" s="13" t="s">
        <v>12</v>
      </c>
      <c r="E96" s="13"/>
      <c r="F96" s="13"/>
      <c r="G96" s="16" t="s">
        <v>21</v>
      </c>
      <c r="H96" s="3">
        <v>0.01</v>
      </c>
      <c r="I96" s="3">
        <v>2.5000000000000001E-3</v>
      </c>
      <c r="J96" s="3" t="s">
        <v>5</v>
      </c>
      <c r="K96" s="13"/>
    </row>
    <row r="97" spans="2:11" ht="14.5" x14ac:dyDescent="0.35">
      <c r="B97" s="16" t="s">
        <v>17</v>
      </c>
      <c r="C97" s="3">
        <f>1000</f>
        <v>1000</v>
      </c>
      <c r="D97" s="13" t="s">
        <v>16</v>
      </c>
      <c r="E97" s="13"/>
      <c r="F97" s="13"/>
      <c r="G97" s="16" t="s">
        <v>19</v>
      </c>
      <c r="H97" s="114">
        <v>0.5</v>
      </c>
      <c r="I97" s="114">
        <v>0.5</v>
      </c>
      <c r="J97" s="3" t="s">
        <v>18</v>
      </c>
      <c r="K97" s="13"/>
    </row>
    <row r="98" spans="2:11" ht="14.5" x14ac:dyDescent="0.35">
      <c r="B98" s="16" t="s">
        <v>25</v>
      </c>
      <c r="C98" s="17">
        <f>C96/C97</f>
        <v>2.7000000000000001E-3</v>
      </c>
      <c r="D98" s="13" t="s">
        <v>12</v>
      </c>
      <c r="E98" s="15"/>
      <c r="F98" s="15"/>
      <c r="G98" s="16" t="s">
        <v>15</v>
      </c>
      <c r="H98" s="3">
        <v>10</v>
      </c>
      <c r="I98" s="3">
        <v>10</v>
      </c>
      <c r="J98" s="3" t="s">
        <v>14</v>
      </c>
      <c r="K98" s="13"/>
    </row>
    <row r="99" spans="2:11" ht="14.5" x14ac:dyDescent="0.35">
      <c r="B99" s="16" t="s">
        <v>9</v>
      </c>
      <c r="C99" s="3">
        <f>C86*C98</f>
        <v>19.440000000000001</v>
      </c>
      <c r="D99" s="13" t="s">
        <v>8</v>
      </c>
      <c r="E99" s="13"/>
      <c r="F99" s="13"/>
      <c r="G99" s="16" t="s">
        <v>11</v>
      </c>
      <c r="H99" s="9">
        <f>C101*H96*H97/H98</f>
        <v>4.3369471701999503E-3</v>
      </c>
      <c r="I99" s="9">
        <f>C101*I96*I97/I98</f>
        <v>1.0842367925499876E-3</v>
      </c>
      <c r="J99" s="3" t="s">
        <v>10</v>
      </c>
      <c r="K99" s="13"/>
    </row>
    <row r="100" spans="2:11" ht="14.5" x14ac:dyDescent="0.35">
      <c r="B100" s="16" t="s">
        <v>6</v>
      </c>
      <c r="C100" s="6">
        <f>K82</f>
        <v>2.2412078401111519</v>
      </c>
      <c r="D100" s="13" t="s">
        <v>5</v>
      </c>
      <c r="E100" s="13"/>
      <c r="F100" s="13"/>
      <c r="G100" s="14" t="s">
        <v>7</v>
      </c>
      <c r="H100" s="7">
        <f>H99*1000</f>
        <v>4.3369471701999505</v>
      </c>
      <c r="I100" s="7">
        <f>I99*1000</f>
        <v>1.0842367925499876</v>
      </c>
      <c r="J100" s="3" t="s">
        <v>0</v>
      </c>
      <c r="K100" s="13"/>
    </row>
    <row r="101" spans="2:11" ht="14.5" x14ac:dyDescent="0.35">
      <c r="B101" s="16" t="s">
        <v>3</v>
      </c>
      <c r="C101" s="5">
        <f>C99/C100</f>
        <v>8.6738943403998991</v>
      </c>
      <c r="D101" s="13" t="s">
        <v>2</v>
      </c>
      <c r="E101" s="15"/>
      <c r="F101" s="15"/>
      <c r="G101" s="14" t="s">
        <v>4</v>
      </c>
      <c r="H101" s="116">
        <v>0.03</v>
      </c>
      <c r="I101" s="117"/>
      <c r="J101" s="3" t="s">
        <v>0</v>
      </c>
      <c r="K101" s="13"/>
    </row>
    <row r="102" spans="2:11" ht="14.5" x14ac:dyDescent="0.35">
      <c r="B102" s="13"/>
      <c r="C102" s="13"/>
      <c r="D102" s="13"/>
      <c r="E102" s="13"/>
      <c r="F102" s="13"/>
      <c r="G102" s="14" t="s">
        <v>1</v>
      </c>
      <c r="H102" s="118">
        <f>H101*3.3</f>
        <v>9.8999999999999991E-2</v>
      </c>
      <c r="I102" s="119"/>
      <c r="J102" s="3" t="s">
        <v>0</v>
      </c>
      <c r="K102" s="13"/>
    </row>
    <row r="103" spans="2:11" ht="14.5" x14ac:dyDescent="0.35"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2:11" ht="14.5" x14ac:dyDescent="0.35">
      <c r="B104"/>
      <c r="C104"/>
      <c r="D104"/>
      <c r="E104"/>
      <c r="F104"/>
      <c r="G104"/>
      <c r="H104"/>
      <c r="I104"/>
      <c r="J104"/>
      <c r="K104"/>
    </row>
    <row r="105" spans="2:11" ht="14.5" x14ac:dyDescent="0.35">
      <c r="B105" s="12" t="s">
        <v>24</v>
      </c>
      <c r="C105" s="11"/>
      <c r="D105" s="2"/>
      <c r="E105" s="2"/>
      <c r="F105" s="10"/>
      <c r="G105" s="2"/>
      <c r="H105" s="2"/>
      <c r="I105" s="2"/>
      <c r="J105" s="2"/>
      <c r="K105" s="2"/>
    </row>
    <row r="106" spans="2:11" ht="14.5" x14ac:dyDescent="0.35">
      <c r="B106" s="4" t="s">
        <v>23</v>
      </c>
      <c r="C106" s="112">
        <v>285</v>
      </c>
      <c r="D106" s="2" t="s">
        <v>22</v>
      </c>
      <c r="E106" s="10"/>
      <c r="F106" s="2"/>
      <c r="G106" s="4" t="s">
        <v>21</v>
      </c>
      <c r="H106" s="3">
        <v>0.01</v>
      </c>
      <c r="I106" s="3">
        <v>2.5000000000000001E-3</v>
      </c>
      <c r="J106" s="3" t="s">
        <v>5</v>
      </c>
      <c r="K106" s="2"/>
    </row>
    <row r="107" spans="2:11" ht="14.5" x14ac:dyDescent="0.35">
      <c r="B107" s="4" t="s">
        <v>20</v>
      </c>
      <c r="C107" s="6">
        <f>C106*5*10^-4*70/20</f>
        <v>0.49875000000000008</v>
      </c>
      <c r="D107" s="2" t="s">
        <v>12</v>
      </c>
      <c r="E107" s="2"/>
      <c r="F107" s="2"/>
      <c r="G107" s="4" t="s">
        <v>19</v>
      </c>
      <c r="H107" s="114">
        <v>0.5</v>
      </c>
      <c r="I107" s="114">
        <v>0.5</v>
      </c>
      <c r="J107" s="3" t="s">
        <v>18</v>
      </c>
      <c r="K107" s="2"/>
    </row>
    <row r="108" spans="2:11" ht="14.5" x14ac:dyDescent="0.35">
      <c r="B108" s="4" t="s">
        <v>17</v>
      </c>
      <c r="C108" s="3">
        <f>1000</f>
        <v>1000</v>
      </c>
      <c r="D108" s="2" t="s">
        <v>16</v>
      </c>
      <c r="E108" s="2"/>
      <c r="F108" s="2"/>
      <c r="G108" s="4" t="s">
        <v>15</v>
      </c>
      <c r="H108" s="3">
        <v>10</v>
      </c>
      <c r="I108" s="3">
        <v>10</v>
      </c>
      <c r="J108" s="3" t="s">
        <v>14</v>
      </c>
      <c r="K108" s="2"/>
    </row>
    <row r="109" spans="2:11" ht="14.5" x14ac:dyDescent="0.35">
      <c r="B109" s="4" t="s">
        <v>13</v>
      </c>
      <c r="C109" s="8">
        <f>C107/C108</f>
        <v>4.9875000000000006E-4</v>
      </c>
      <c r="D109" s="2" t="s">
        <v>12</v>
      </c>
      <c r="E109" s="2"/>
      <c r="F109" s="2"/>
      <c r="G109" s="4" t="s">
        <v>11</v>
      </c>
      <c r="H109" s="9">
        <f>C112*H106*H107/H108</f>
        <v>8.0113051893971297E-4</v>
      </c>
      <c r="I109" s="8">
        <f>C112*I106*I107/I108</f>
        <v>2.0028262973492824E-4</v>
      </c>
      <c r="J109" s="3" t="s">
        <v>10</v>
      </c>
      <c r="K109" s="2"/>
    </row>
    <row r="110" spans="2:11" ht="14.5" x14ac:dyDescent="0.35">
      <c r="B110" s="4" t="s">
        <v>9</v>
      </c>
      <c r="C110" s="3">
        <f>C86*C109</f>
        <v>3.5910000000000006</v>
      </c>
      <c r="D110" s="2" t="s">
        <v>8</v>
      </c>
      <c r="E110" s="2"/>
      <c r="F110" s="2"/>
      <c r="G110" s="4" t="s">
        <v>7</v>
      </c>
      <c r="H110" s="7">
        <f>H109*1000</f>
        <v>0.80113051893971299</v>
      </c>
      <c r="I110" s="7">
        <f>I109*1000</f>
        <v>0.20028262973492825</v>
      </c>
      <c r="J110" s="3" t="s">
        <v>0</v>
      </c>
      <c r="K110" s="2"/>
    </row>
    <row r="111" spans="2:11" ht="14.5" x14ac:dyDescent="0.35">
      <c r="B111" s="4" t="s">
        <v>6</v>
      </c>
      <c r="C111" s="6">
        <f>K82</f>
        <v>2.2412078401111519</v>
      </c>
      <c r="D111" s="2" t="s">
        <v>5</v>
      </c>
      <c r="E111" s="2"/>
      <c r="F111" s="2"/>
      <c r="G111" s="4" t="s">
        <v>4</v>
      </c>
      <c r="H111" s="116">
        <v>0.03</v>
      </c>
      <c r="I111" s="117"/>
      <c r="J111" s="3" t="s">
        <v>0</v>
      </c>
      <c r="K111" s="2"/>
    </row>
    <row r="112" spans="2:11" ht="14.5" x14ac:dyDescent="0.35">
      <c r="B112" s="4" t="s">
        <v>3</v>
      </c>
      <c r="C112" s="5">
        <f>C110/C111</f>
        <v>1.602261037879426</v>
      </c>
      <c r="D112" s="2" t="s">
        <v>2</v>
      </c>
      <c r="E112" s="2"/>
      <c r="F112" s="2"/>
      <c r="G112" s="4" t="s">
        <v>1</v>
      </c>
      <c r="H112" s="118">
        <f>3.3*H111</f>
        <v>9.8999999999999991E-2</v>
      </c>
      <c r="I112" s="119"/>
      <c r="J112" s="3" t="s">
        <v>0</v>
      </c>
      <c r="K112" s="2"/>
    </row>
    <row r="113" spans="2:11" ht="14.5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2:11" ht="14.5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</row>
  </sheetData>
  <mergeCells count="49">
    <mergeCell ref="C31:C33"/>
    <mergeCell ref="E31:G31"/>
    <mergeCell ref="E32:G32"/>
    <mergeCell ref="H91:I91"/>
    <mergeCell ref="H101:I101"/>
    <mergeCell ref="C51:L51"/>
    <mergeCell ref="D52:L52"/>
    <mergeCell ref="C53:C54"/>
    <mergeCell ref="D53:L53"/>
    <mergeCell ref="D54:L54"/>
    <mergeCell ref="E33:G33"/>
    <mergeCell ref="E19:G19"/>
    <mergeCell ref="E20:G20"/>
    <mergeCell ref="AJ21:AJ24"/>
    <mergeCell ref="AJ25:AJ27"/>
    <mergeCell ref="AJ10:AJ11"/>
    <mergeCell ref="AJ12:AJ13"/>
    <mergeCell ref="AJ15:AJ17"/>
    <mergeCell ref="AJ18:AJ20"/>
    <mergeCell ref="E17:G17"/>
    <mergeCell ref="E14:G14"/>
    <mergeCell ref="E15:G15"/>
    <mergeCell ref="E16:G16"/>
    <mergeCell ref="E18:G18"/>
    <mergeCell ref="C15:C16"/>
    <mergeCell ref="C17:C18"/>
    <mergeCell ref="C19:C20"/>
    <mergeCell ref="C21:C23"/>
    <mergeCell ref="C24:C26"/>
    <mergeCell ref="C27:C30"/>
    <mergeCell ref="E30:G30"/>
    <mergeCell ref="E21:G21"/>
    <mergeCell ref="E22:G22"/>
    <mergeCell ref="E23:G23"/>
    <mergeCell ref="E27:G27"/>
    <mergeCell ref="E28:G28"/>
    <mergeCell ref="E29:G29"/>
    <mergeCell ref="E24:G24"/>
    <mergeCell ref="E25:G25"/>
    <mergeCell ref="E26:G26"/>
    <mergeCell ref="H111:I111"/>
    <mergeCell ref="H112:I112"/>
    <mergeCell ref="D55:L55"/>
    <mergeCell ref="C56:L56"/>
    <mergeCell ref="D57:L57"/>
    <mergeCell ref="D58:L58"/>
    <mergeCell ref="D59:L59"/>
    <mergeCell ref="H102:I102"/>
    <mergeCell ref="H92:I9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validation de nettoyage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</cp:lastModifiedBy>
  <dcterms:created xsi:type="dcterms:W3CDTF">2013-12-03T08:22:09Z</dcterms:created>
  <dcterms:modified xsi:type="dcterms:W3CDTF">2017-03-13T07:53:00Z</dcterms:modified>
</cp:coreProperties>
</file>