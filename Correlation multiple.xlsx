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rgan gc\Desktop\EmVisage\Morgan\Statistique\Excel\Excel pro\"/>
    </mc:Choice>
  </mc:AlternateContent>
  <xr:revisionPtr revIDLastSave="0" documentId="13_ncr:1_{291654BF-884D-44E9-ACFF-77C5E8A2F4D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info" sheetId="1" r:id="rId1"/>
    <sheet name="exemple" sheetId="4" r:id="rId2"/>
    <sheet name="alpha Cronbach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8" i="2" l="1"/>
  <c r="E4" i="4"/>
  <c r="C26" i="4" l="1"/>
  <c r="B20" i="4" l="1"/>
  <c r="D4" i="4" l="1"/>
  <c r="F12" i="4"/>
  <c r="F3" i="4"/>
  <c r="B7" i="4" s="1"/>
  <c r="F4" i="4" l="1"/>
  <c r="F6" i="4"/>
  <c r="F5" i="4"/>
  <c r="D16" i="2"/>
  <c r="E16" i="2"/>
  <c r="F16" i="2"/>
  <c r="C16" i="2"/>
  <c r="G6" i="2"/>
  <c r="G7" i="2"/>
  <c r="G8" i="2"/>
  <c r="G9" i="2"/>
  <c r="G10" i="2"/>
  <c r="G11" i="2"/>
  <c r="G12" i="2"/>
  <c r="G13" i="2"/>
  <c r="G14" i="2"/>
  <c r="G15" i="2"/>
  <c r="G5" i="2"/>
  <c r="C17" i="2" l="1"/>
  <c r="G16" i="2"/>
  <c r="E19" i="4"/>
  <c r="F19" i="4"/>
  <c r="G19" i="4"/>
  <c r="H19" i="4"/>
  <c r="D19" i="4"/>
  <c r="G3" i="4"/>
  <c r="B8" i="4" s="1"/>
  <c r="H3" i="4"/>
  <c r="B9" i="4" s="1"/>
  <c r="E12" i="4"/>
  <c r="G12" i="4"/>
  <c r="H12" i="4"/>
  <c r="D12" i="4"/>
  <c r="C3" i="4" l="1"/>
  <c r="B4" i="4" s="1"/>
  <c r="E3" i="4"/>
  <c r="B6" i="4" s="1"/>
  <c r="D3" i="4"/>
  <c r="B5" i="4" s="1"/>
  <c r="B22" i="4" l="1"/>
  <c r="H8" i="4" l="1"/>
  <c r="G4" i="4"/>
  <c r="E5" i="4"/>
  <c r="H4" i="4"/>
  <c r="H5" i="4"/>
  <c r="H6" i="4"/>
  <c r="H7" i="4"/>
  <c r="G5" i="4"/>
  <c r="G6" i="4"/>
  <c r="G7" i="4"/>
  <c r="F37" i="1"/>
  <c r="E31" i="1"/>
  <c r="D31" i="1"/>
  <c r="F31" i="1"/>
  <c r="C31" i="1"/>
  <c r="E36" i="1"/>
  <c r="F36" i="1"/>
  <c r="D35" i="1"/>
  <c r="E35" i="1"/>
  <c r="F35" i="1"/>
  <c r="F43" i="1" l="1"/>
  <c r="L32" i="4"/>
  <c r="D13" i="4" s="1"/>
  <c r="R32" i="4"/>
  <c r="L59" i="4"/>
  <c r="O126" i="4"/>
  <c r="Z32" i="4"/>
  <c r="AC34" i="4"/>
  <c r="O125" i="4"/>
  <c r="M123" i="4"/>
  <c r="AI32" i="4"/>
  <c r="O123" i="4"/>
  <c r="N123" i="4"/>
  <c r="N125" i="4"/>
  <c r="N60" i="4"/>
  <c r="AJ32" i="4"/>
  <c r="N59" i="4"/>
  <c r="L38" i="4"/>
  <c r="AK35" i="4"/>
  <c r="M60" i="4"/>
  <c r="AK32" i="4"/>
  <c r="AK34" i="4"/>
  <c r="M59" i="4"/>
  <c r="N61" i="4"/>
  <c r="AJ34" i="4"/>
  <c r="AL32" i="4"/>
  <c r="AC33" i="4"/>
  <c r="AL35" i="4"/>
  <c r="AB34" i="4"/>
  <c r="AB33" i="4"/>
  <c r="AB32" i="4"/>
  <c r="AC32" i="4"/>
  <c r="AL36" i="4"/>
  <c r="AA33" i="4"/>
  <c r="AA32" i="4"/>
  <c r="AL34" i="4"/>
  <c r="AC35" i="4"/>
  <c r="M39" i="4"/>
  <c r="M38" i="4"/>
  <c r="T40" i="4"/>
  <c r="S38" i="4"/>
  <c r="T38" i="4"/>
  <c r="F42" i="1"/>
  <c r="D42" i="1"/>
  <c r="D49" i="1" l="1"/>
  <c r="D20" i="4"/>
  <c r="E13" i="4"/>
  <c r="E20" i="4" s="1"/>
  <c r="O134" i="4"/>
  <c r="Z41" i="4"/>
  <c r="AD111" i="4"/>
  <c r="L67" i="4"/>
  <c r="M67" i="4"/>
  <c r="T59" i="4"/>
  <c r="U59" i="4"/>
  <c r="N131" i="4"/>
  <c r="U61" i="4"/>
  <c r="M68" i="4"/>
  <c r="AB68" i="4"/>
  <c r="O131" i="4"/>
  <c r="AC110" i="4"/>
  <c r="AA42" i="4"/>
  <c r="AB42" i="4"/>
  <c r="AD68" i="4"/>
  <c r="AC68" i="4"/>
  <c r="AB43" i="4"/>
  <c r="AD110" i="4"/>
  <c r="AA41" i="4"/>
  <c r="AB41" i="4"/>
  <c r="L45" i="4"/>
  <c r="M52" i="4"/>
  <c r="T45" i="4"/>
  <c r="D14" i="4" l="1"/>
  <c r="V123" i="4"/>
  <c r="G15" i="4" s="1"/>
  <c r="G22" i="4" s="1"/>
  <c r="T114" i="4"/>
  <c r="E15" i="4" s="1"/>
  <c r="E22" i="4" s="1"/>
  <c r="AC117" i="4"/>
  <c r="AJ117" i="4"/>
  <c r="L114" i="4"/>
  <c r="D15" i="4" s="1"/>
  <c r="D22" i="4" s="1"/>
  <c r="U67" i="4"/>
  <c r="AJ43" i="4"/>
  <c r="AJ41" i="4"/>
  <c r="AD121" i="4"/>
  <c r="AK117" i="4"/>
  <c r="AK120" i="4"/>
  <c r="AA50" i="4"/>
  <c r="AI41" i="4"/>
  <c r="AA51" i="4"/>
  <c r="Z50" i="4"/>
  <c r="AD117" i="4"/>
  <c r="F15" i="4" l="1"/>
  <c r="F22" i="4" s="1"/>
  <c r="E14" i="4"/>
  <c r="D21" i="4"/>
  <c r="AJ126" i="4"/>
  <c r="AI59" i="4"/>
  <c r="E16" i="4" s="1"/>
  <c r="E23" i="4" s="1"/>
  <c r="Z59" i="4"/>
  <c r="D16" i="4" s="1"/>
  <c r="D23" i="4" s="1"/>
  <c r="AJ50" i="4"/>
  <c r="AD126" i="4"/>
  <c r="H16" i="4" s="1"/>
  <c r="H23" i="4" s="1"/>
  <c r="AK68" i="4"/>
  <c r="G16" i="4" s="1"/>
  <c r="G23" i="4" s="1"/>
  <c r="F16" i="4" l="1"/>
  <c r="F23" i="4" s="1"/>
  <c r="E21" i="4"/>
  <c r="F14" i="4"/>
  <c r="F21" i="4" s="1"/>
</calcChain>
</file>

<file path=xl/sharedStrings.xml><?xml version="1.0" encoding="utf-8"?>
<sst xmlns="http://schemas.openxmlformats.org/spreadsheetml/2006/main" count="454" uniqueCount="59">
  <si>
    <t>x</t>
  </si>
  <si>
    <t>a</t>
  </si>
  <si>
    <t>b</t>
  </si>
  <si>
    <t>c</t>
  </si>
  <si>
    <t>d</t>
  </si>
  <si>
    <t>Corrélation brutes</t>
  </si>
  <si>
    <t>Corrélation partielle / c</t>
  </si>
  <si>
    <t>Corrélation partielle / c &amp; d</t>
  </si>
  <si>
    <t>r</t>
  </si>
  <si>
    <t>moyenne</t>
  </si>
  <si>
    <t>e</t>
  </si>
  <si>
    <t>Y</t>
  </si>
  <si>
    <t>Corrélation partielle / e</t>
  </si>
  <si>
    <t>Corrélation partielle / d &amp; e</t>
  </si>
  <si>
    <t>Corrélation partielle / c &amp; d &amp; e</t>
  </si>
  <si>
    <t>Corrélation partielle / b &amp; c &amp; d &amp; e</t>
  </si>
  <si>
    <t>Corrélation partielle / b</t>
  </si>
  <si>
    <t>Corrélation partielle / a</t>
  </si>
  <si>
    <t>Corrélation partielle / b &amp; c</t>
  </si>
  <si>
    <t>Corrélation partielle / a &amp; c</t>
  </si>
  <si>
    <t>Corrélation partielle / a &amp; d &amp; e</t>
  </si>
  <si>
    <t>Corrélation partielle / a &amp; b &amp; d &amp; e</t>
  </si>
  <si>
    <t>Corrélation partielle / a &amp; b &amp; c &amp; d &amp; e</t>
  </si>
  <si>
    <t>Corrélation partielle / a &amp; b</t>
  </si>
  <si>
    <t>Corrélation partielle / a &amp; b  &amp; c</t>
  </si>
  <si>
    <t>Corrélation partielle / a &amp; b  &amp; c &amp; d</t>
  </si>
  <si>
    <t>Corrélation partielle / a &amp; b  &amp; c &amp; e</t>
  </si>
  <si>
    <t>Corrélation partielle / d</t>
  </si>
  <si>
    <t>Lire à la ligne correspondant au nombre de facteur étudié</t>
  </si>
  <si>
    <t>Significativité des coefficients R ( t calculé pour chaque R)</t>
  </si>
  <si>
    <t>Si t &lt; T, alor le coefficeint est différent de 0. Il est significatif</t>
  </si>
  <si>
    <t>T 5%</t>
  </si>
  <si>
    <t>T 1%</t>
  </si>
  <si>
    <t>si p = 3</t>
  </si>
  <si>
    <t>si p = 4</t>
  </si>
  <si>
    <t>si p = 5</t>
  </si>
  <si>
    <t>si p = 2</t>
  </si>
  <si>
    <t>p = nombre de facteur étudié</t>
  </si>
  <si>
    <t>p =</t>
  </si>
  <si>
    <t>Sujet</t>
  </si>
  <si>
    <t>Question A</t>
  </si>
  <si>
    <t>Question B</t>
  </si>
  <si>
    <t>Question C</t>
  </si>
  <si>
    <t>Question D</t>
  </si>
  <si>
    <t>Variance</t>
  </si>
  <si>
    <t>total</t>
  </si>
  <si>
    <t>Somme Var</t>
  </si>
  <si>
    <t>alpha</t>
  </si>
  <si>
    <t>un coefficient alpha &gt; 0.8 montre une bonne corrélation/cohérence entre les questions posées</t>
  </si>
  <si>
    <r>
      <t xml:space="preserve">Nous avons décidé de construire un questionnaire concernant les facteurs stressants en milieu hospitalier. Nous voulons vérifier la fiabilité de ce questionnaire formé par 4 questions, en le proposant à 11 infirmières. Les </t>
    </r>
    <r>
      <rPr>
        <b/>
        <sz val="10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>sujets indiquent leur choix grâce à  une échelle de 1 à 6.*</t>
    </r>
  </si>
  <si>
    <t>p</t>
  </si>
  <si>
    <t>Torque (Nm)</t>
  </si>
  <si>
    <t>Speed Mes.d(rpm)</t>
  </si>
  <si>
    <t>Speed Fit(rpm)</t>
  </si>
  <si>
    <t>Pin (W)</t>
  </si>
  <si>
    <t>Pout (W)</t>
  </si>
  <si>
    <t xml:space="preserve">Efficency </t>
  </si>
  <si>
    <t>Correlation multiples entre Y et 5 facteurs max</t>
  </si>
  <si>
    <t>Corrélation multiples selon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</si>
</sst>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"/>
    <numFmt numFmtId="167" formatCode="0.0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1"/>
      <color theme="1"/>
      <name val="Calibri"/>
      <family val="2"/>
      <scheme val="minor"/>
    </font>
    <font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8" fillId="0" borderId="0"/>
  </cellStyleXfs>
  <cellXfs count="157">
    <xf numFmtId="0" fontId="0" fillId="0" borderId="0" xfId="0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0" fontId="0" fillId="0" borderId="0" xfId="0" applyFill="1" applyBorder="1"/>
    <xf numFmtId="1" fontId="0" fillId="0" borderId="1" xfId="0" applyNumberFormat="1" applyFill="1" applyBorder="1" applyAlignment="1">
      <alignment horizontal="center"/>
    </xf>
    <xf numFmtId="1" fontId="0" fillId="0" borderId="1" xfId="0" applyNumberFormat="1" applyFill="1" applyBorder="1" applyAlignment="1">
      <alignment horizontal="center" wrapText="1"/>
    </xf>
    <xf numFmtId="1" fontId="0" fillId="0" borderId="1" xfId="0" applyNumberFormat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164" fontId="0" fillId="0" borderId="1" xfId="0" applyNumberFormat="1" applyFill="1" applyBorder="1" applyAlignment="1">
      <alignment horizontal="center" wrapText="1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66" fontId="0" fillId="3" borderId="1" xfId="0" applyNumberFormat="1" applyFill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3" borderId="7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2" fontId="0" fillId="7" borderId="1" xfId="0" applyNumberFormat="1" applyFill="1" applyBorder="1" applyAlignment="1">
      <alignment horizontal="center"/>
    </xf>
    <xf numFmtId="2" fontId="0" fillId="3" borderId="1" xfId="0" applyNumberFormat="1" applyFill="1" applyBorder="1"/>
    <xf numFmtId="2" fontId="0" fillId="0" borderId="0" xfId="0" applyNumberFormat="1"/>
    <xf numFmtId="2" fontId="0" fillId="0" borderId="1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166" fontId="0" fillId="0" borderId="0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1" fontId="0" fillId="0" borderId="4" xfId="0" applyNumberFormat="1" applyFill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2" fontId="3" fillId="4" borderId="1" xfId="0" applyNumberFormat="1" applyFont="1" applyFill="1" applyBorder="1" applyAlignment="1">
      <alignment horizontal="center"/>
    </xf>
    <xf numFmtId="0" fontId="0" fillId="0" borderId="0" xfId="0" applyFill="1" applyBorder="1" applyAlignment="1"/>
    <xf numFmtId="2" fontId="0" fillId="0" borderId="0" xfId="0" applyNumberForma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1" fontId="0" fillId="5" borderId="11" xfId="0" applyNumberFormat="1" applyFill="1" applyBorder="1" applyAlignment="1">
      <alignment horizontal="center"/>
    </xf>
    <xf numFmtId="164" fontId="0" fillId="2" borderId="13" xfId="0" applyNumberFormat="1" applyFill="1" applyBorder="1" applyAlignment="1">
      <alignment horizontal="center"/>
    </xf>
    <xf numFmtId="1" fontId="0" fillId="5" borderId="13" xfId="0" applyNumberFormat="1" applyFill="1" applyBorder="1" applyAlignment="1">
      <alignment horizontal="center"/>
    </xf>
    <xf numFmtId="1" fontId="0" fillId="5" borderId="14" xfId="0" applyNumberFormat="1" applyFill="1" applyBorder="1" applyAlignment="1">
      <alignment horizontal="center"/>
    </xf>
    <xf numFmtId="0" fontId="0" fillId="0" borderId="10" xfId="0" applyBorder="1" applyAlignment="1">
      <alignment horizontal="center"/>
    </xf>
    <xf numFmtId="2" fontId="0" fillId="7" borderId="11" xfId="0" applyNumberFormat="1" applyFill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0" fillId="0" borderId="19" xfId="0" applyBorder="1"/>
    <xf numFmtId="0" fontId="0" fillId="9" borderId="7" xfId="0" applyFill="1" applyBorder="1"/>
    <xf numFmtId="0" fontId="0" fillId="0" borderId="9" xfId="0" applyBorder="1"/>
    <xf numFmtId="164" fontId="0" fillId="5" borderId="1" xfId="0" applyNumberFormat="1" applyFill="1" applyBorder="1" applyAlignment="1">
      <alignment horizontal="center"/>
    </xf>
    <xf numFmtId="0" fontId="0" fillId="0" borderId="11" xfId="0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2" fontId="0" fillId="11" borderId="1" xfId="0" applyNumberFormat="1" applyFill="1" applyBorder="1" applyAlignment="1">
      <alignment horizontal="center"/>
    </xf>
    <xf numFmtId="2" fontId="0" fillId="10" borderId="7" xfId="0" applyNumberFormat="1" applyFill="1" applyBorder="1" applyAlignment="1">
      <alignment horizontal="center"/>
    </xf>
    <xf numFmtId="2" fontId="0" fillId="12" borderId="13" xfId="0" applyNumberFormat="1" applyFill="1" applyBorder="1" applyAlignment="1">
      <alignment horizontal="center"/>
    </xf>
    <xf numFmtId="0" fontId="0" fillId="0" borderId="15" xfId="0" applyFont="1" applyBorder="1" applyAlignment="1">
      <alignment horizontal="center" vertical="center" wrapText="1"/>
    </xf>
    <xf numFmtId="164" fontId="0" fillId="5" borderId="1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12" borderId="5" xfId="0" applyFill="1" applyBorder="1" applyAlignment="1">
      <alignment horizontal="center"/>
    </xf>
    <xf numFmtId="0" fontId="0" fillId="12" borderId="6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Border="1"/>
    <xf numFmtId="0" fontId="0" fillId="0" borderId="27" xfId="0" applyFont="1" applyFill="1" applyBorder="1" applyAlignment="1">
      <alignment horizontal="center"/>
    </xf>
    <xf numFmtId="0" fontId="0" fillId="0" borderId="16" xfId="0" applyFont="1" applyFill="1" applyBorder="1" applyAlignment="1">
      <alignment horizontal="center"/>
    </xf>
    <xf numFmtId="0" fontId="0" fillId="0" borderId="28" xfId="0" applyFont="1" applyFill="1" applyBorder="1" applyAlignment="1">
      <alignment horizontal="center"/>
    </xf>
    <xf numFmtId="0" fontId="0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2" fontId="0" fillId="11" borderId="24" xfId="0" applyNumberFormat="1" applyFill="1" applyBorder="1" applyAlignment="1">
      <alignment horizontal="center"/>
    </xf>
    <xf numFmtId="2" fontId="3" fillId="11" borderId="7" xfId="0" applyNumberFormat="1" applyFont="1" applyFill="1" applyBorder="1" applyAlignment="1">
      <alignment horizontal="center"/>
    </xf>
    <xf numFmtId="2" fontId="0" fillId="11" borderId="7" xfId="0" applyNumberFormat="1" applyFill="1" applyBorder="1" applyAlignment="1">
      <alignment horizontal="center"/>
    </xf>
    <xf numFmtId="2" fontId="0" fillId="10" borderId="24" xfId="0" applyNumberFormat="1" applyFill="1" applyBorder="1" applyAlignment="1">
      <alignment horizontal="center"/>
    </xf>
    <xf numFmtId="2" fontId="0" fillId="10" borderId="26" xfId="0" applyNumberFormat="1" applyFill="1" applyBorder="1" applyAlignment="1">
      <alignment horizontal="center"/>
    </xf>
    <xf numFmtId="2" fontId="3" fillId="12" borderId="23" xfId="0" applyNumberFormat="1" applyFont="1" applyFill="1" applyBorder="1" applyAlignment="1">
      <alignment horizontal="center"/>
    </xf>
    <xf numFmtId="2" fontId="0" fillId="11" borderId="6" xfId="0" applyNumberFormat="1" applyFill="1" applyBorder="1" applyAlignment="1">
      <alignment horizontal="center"/>
    </xf>
    <xf numFmtId="2" fontId="0" fillId="5" borderId="6" xfId="0" applyNumberFormat="1" applyFill="1" applyBorder="1" applyAlignment="1">
      <alignment horizontal="center"/>
    </xf>
    <xf numFmtId="2" fontId="0" fillId="12" borderId="14" xfId="0" applyNumberFormat="1" applyFill="1" applyBorder="1" applyAlignment="1">
      <alignment horizontal="center"/>
    </xf>
    <xf numFmtId="0" fontId="0" fillId="9" borderId="34" xfId="0" applyFill="1" applyBorder="1"/>
    <xf numFmtId="0" fontId="0" fillId="9" borderId="35" xfId="0" applyFill="1" applyBorder="1"/>
    <xf numFmtId="0" fontId="0" fillId="9" borderId="33" xfId="0" applyFill="1" applyBorder="1"/>
    <xf numFmtId="0" fontId="1" fillId="3" borderId="36" xfId="0" applyFont="1" applyFill="1" applyBorder="1" applyAlignment="1">
      <alignment horizontal="center" vertical="center" wrapText="1"/>
    </xf>
    <xf numFmtId="2" fontId="0" fillId="0" borderId="25" xfId="0" applyNumberFormat="1" applyFont="1" applyFill="1" applyBorder="1" applyAlignment="1">
      <alignment horizontal="center" vertical="center" wrapText="1"/>
    </xf>
    <xf numFmtId="0" fontId="0" fillId="0" borderId="37" xfId="0" applyFont="1" applyFill="1" applyBorder="1" applyAlignment="1">
      <alignment horizontal="center"/>
    </xf>
    <xf numFmtId="0" fontId="1" fillId="3" borderId="39" xfId="0" applyFont="1" applyFill="1" applyBorder="1" applyAlignment="1">
      <alignment horizontal="center" vertical="center" wrapText="1"/>
    </xf>
    <xf numFmtId="2" fontId="0" fillId="0" borderId="40" xfId="0" applyNumberFormat="1" applyFont="1" applyFill="1" applyBorder="1" applyAlignment="1">
      <alignment horizontal="center" vertical="center" wrapText="1"/>
    </xf>
    <xf numFmtId="0" fontId="0" fillId="9" borderId="38" xfId="0" applyFill="1" applyBorder="1"/>
    <xf numFmtId="0" fontId="0" fillId="10" borderId="31" xfId="0" applyNumberFormat="1" applyFill="1" applyBorder="1" applyAlignment="1">
      <alignment horizontal="right"/>
    </xf>
    <xf numFmtId="0" fontId="0" fillId="11" borderId="31" xfId="0" applyNumberFormat="1" applyFill="1" applyBorder="1" applyAlignment="1">
      <alignment horizontal="right"/>
    </xf>
    <xf numFmtId="0" fontId="0" fillId="5" borderId="31" xfId="0" applyNumberFormat="1" applyFill="1" applyBorder="1" applyAlignment="1">
      <alignment horizontal="right"/>
    </xf>
    <xf numFmtId="0" fontId="0" fillId="12" borderId="32" xfId="0" applyFill="1" applyBorder="1" applyAlignment="1">
      <alignment horizontal="right"/>
    </xf>
    <xf numFmtId="0" fontId="0" fillId="10" borderId="30" xfId="0" applyFill="1" applyBorder="1" applyAlignment="1">
      <alignment horizontal="right"/>
    </xf>
    <xf numFmtId="0" fontId="0" fillId="11" borderId="30" xfId="0" applyFill="1" applyBorder="1" applyAlignment="1">
      <alignment horizontal="right"/>
    </xf>
    <xf numFmtId="0" fontId="0" fillId="5" borderId="31" xfId="0" applyFill="1" applyBorder="1" applyAlignment="1">
      <alignment horizontal="right"/>
    </xf>
    <xf numFmtId="0" fontId="0" fillId="9" borderId="1" xfId="0" applyFill="1" applyBorder="1"/>
    <xf numFmtId="0" fontId="0" fillId="9" borderId="42" xfId="0" applyFill="1" applyBorder="1"/>
    <xf numFmtId="0" fontId="0" fillId="9" borderId="43" xfId="0" applyFill="1" applyBorder="1"/>
    <xf numFmtId="0" fontId="0" fillId="9" borderId="24" xfId="0" applyFill="1" applyBorder="1"/>
    <xf numFmtId="0" fontId="0" fillId="3" borderId="29" xfId="0" applyFont="1" applyFill="1" applyBorder="1" applyAlignment="1">
      <alignment horizontal="center" vertical="center" wrapText="1"/>
    </xf>
    <xf numFmtId="0" fontId="0" fillId="3" borderId="41" xfId="0" applyFont="1" applyFill="1" applyBorder="1" applyAlignment="1">
      <alignment horizontal="center" vertical="center" wrapText="1"/>
    </xf>
    <xf numFmtId="165" fontId="0" fillId="0" borderId="0" xfId="0" applyNumberFormat="1"/>
    <xf numFmtId="164" fontId="0" fillId="5" borderId="13" xfId="0" applyNumberFormat="1" applyFill="1" applyBorder="1" applyAlignment="1">
      <alignment horizontal="center"/>
    </xf>
    <xf numFmtId="2" fontId="0" fillId="5" borderId="13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6" xfId="0" applyFont="1" applyBorder="1" applyAlignment="1">
      <alignment horizontal="center" vertical="center" wrapText="1"/>
    </xf>
    <xf numFmtId="165" fontId="0" fillId="2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3" borderId="8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1" fillId="0" borderId="21" xfId="0" applyFont="1" applyFill="1" applyBorder="1" applyAlignment="1">
      <alignment horizontal="center"/>
    </xf>
    <xf numFmtId="0" fontId="1" fillId="0" borderId="20" xfId="0" applyFont="1" applyFill="1" applyBorder="1" applyAlignment="1">
      <alignment horizontal="center"/>
    </xf>
    <xf numFmtId="0" fontId="1" fillId="0" borderId="22" xfId="0" applyFont="1" applyFill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2" fontId="0" fillId="12" borderId="4" xfId="0" applyNumberFormat="1" applyFill="1" applyBorder="1" applyAlignment="1">
      <alignment horizontal="center"/>
    </xf>
    <xf numFmtId="2" fontId="0" fillId="12" borderId="5" xfId="0" applyNumberFormat="1" applyFill="1" applyBorder="1" applyAlignment="1">
      <alignment horizontal="center"/>
    </xf>
    <xf numFmtId="2" fontId="0" fillId="12" borderId="6" xfId="0" applyNumberFormat="1" applyFill="1" applyBorder="1" applyAlignment="1">
      <alignment horizontal="center"/>
    </xf>
    <xf numFmtId="2" fontId="0" fillId="12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12" borderId="5" xfId="0" applyFill="1" applyBorder="1" applyAlignment="1">
      <alignment horizontal="center"/>
    </xf>
    <xf numFmtId="0" fontId="0" fillId="12" borderId="6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4" fillId="0" borderId="21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8" borderId="1" xfId="0" applyFill="1" applyBorder="1" applyAlignment="1">
      <alignment horizontal="center"/>
    </xf>
    <xf numFmtId="0" fontId="5" fillId="0" borderId="0" xfId="0" applyFont="1" applyAlignment="1">
      <alignment horizontal="left" vertical="center" wrapText="1"/>
    </xf>
    <xf numFmtId="0" fontId="0" fillId="13" borderId="1" xfId="0" applyFont="1" applyFill="1" applyBorder="1" applyAlignment="1">
      <alignment horizontal="center"/>
    </xf>
    <xf numFmtId="0" fontId="0" fillId="13" borderId="1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exemple!$D$27</c:f>
              <c:strCache>
                <c:ptCount val="1"/>
                <c:pt idx="0">
                  <c:v>Speed Mes.d(rpm)</c:v>
                </c:pt>
              </c:strCache>
            </c:strRef>
          </c:tx>
          <c:spPr>
            <a:ln w="28575">
              <a:noFill/>
            </a:ln>
          </c:spPr>
          <c:xVal>
            <c:numRef>
              <c:f>exemple!$C$28:$C$128</c:f>
              <c:numCache>
                <c:formatCode>0.000</c:formatCode>
                <c:ptCount val="101"/>
                <c:pt idx="0">
                  <c:v>0</c:v>
                </c:pt>
                <c:pt idx="1">
                  <c:v>1.7000000000000001E-2</c:v>
                </c:pt>
                <c:pt idx="2">
                  <c:v>1.7000000000000001E-2</c:v>
                </c:pt>
                <c:pt idx="3">
                  <c:v>2.5000000000000001E-2</c:v>
                </c:pt>
                <c:pt idx="4">
                  <c:v>2.8000000000000001E-2</c:v>
                </c:pt>
                <c:pt idx="5">
                  <c:v>3.1E-2</c:v>
                </c:pt>
                <c:pt idx="6">
                  <c:v>3.9E-2</c:v>
                </c:pt>
                <c:pt idx="7">
                  <c:v>5.7000000000000002E-2</c:v>
                </c:pt>
                <c:pt idx="8">
                  <c:v>4.8000000000000001E-2</c:v>
                </c:pt>
                <c:pt idx="9">
                  <c:v>6.8000000000000005E-2</c:v>
                </c:pt>
                <c:pt idx="10">
                  <c:v>5.6000000000000001E-2</c:v>
                </c:pt>
                <c:pt idx="11">
                  <c:v>7.0999999999999994E-2</c:v>
                </c:pt>
                <c:pt idx="12">
                  <c:v>8.3000000000000004E-2</c:v>
                </c:pt>
                <c:pt idx="13">
                  <c:v>0.08</c:v>
                </c:pt>
                <c:pt idx="14">
                  <c:v>9.5000000000000001E-2</c:v>
                </c:pt>
                <c:pt idx="15">
                  <c:v>0.17699999999999999</c:v>
                </c:pt>
                <c:pt idx="16">
                  <c:v>0.14199999999999999</c:v>
                </c:pt>
                <c:pt idx="17">
                  <c:v>0.125</c:v>
                </c:pt>
                <c:pt idx="18">
                  <c:v>0.17299999999999999</c:v>
                </c:pt>
                <c:pt idx="19">
                  <c:v>0.105</c:v>
                </c:pt>
                <c:pt idx="20">
                  <c:v>0.13800000000000001</c:v>
                </c:pt>
                <c:pt idx="21">
                  <c:v>0.13600000000000001</c:v>
                </c:pt>
                <c:pt idx="22">
                  <c:v>0.23899999999999999</c:v>
                </c:pt>
                <c:pt idx="23">
                  <c:v>0.13500000000000001</c:v>
                </c:pt>
                <c:pt idx="24">
                  <c:v>0.13100000000000001</c:v>
                </c:pt>
                <c:pt idx="25">
                  <c:v>0.191</c:v>
                </c:pt>
                <c:pt idx="26">
                  <c:v>0.14299999999999999</c:v>
                </c:pt>
                <c:pt idx="27">
                  <c:v>0.20799999999999999</c:v>
                </c:pt>
                <c:pt idx="28">
                  <c:v>0.191</c:v>
                </c:pt>
                <c:pt idx="29">
                  <c:v>0.191</c:v>
                </c:pt>
                <c:pt idx="30">
                  <c:v>0.20499999999999999</c:v>
                </c:pt>
                <c:pt idx="31">
                  <c:v>0.184</c:v>
                </c:pt>
                <c:pt idx="32">
                  <c:v>0.189</c:v>
                </c:pt>
                <c:pt idx="33">
                  <c:v>0.20300000000000001</c:v>
                </c:pt>
                <c:pt idx="34">
                  <c:v>0.2</c:v>
                </c:pt>
              </c:numCache>
            </c:numRef>
          </c:xVal>
          <c:yVal>
            <c:numRef>
              <c:f>exemple!$D$28:$D$128</c:f>
              <c:numCache>
                <c:formatCode>0.00</c:formatCode>
                <c:ptCount val="101"/>
                <c:pt idx="0">
                  <c:v>0</c:v>
                </c:pt>
                <c:pt idx="1">
                  <c:v>10206</c:v>
                </c:pt>
                <c:pt idx="2">
                  <c:v>10206</c:v>
                </c:pt>
                <c:pt idx="3">
                  <c:v>10214</c:v>
                </c:pt>
                <c:pt idx="4">
                  <c:v>10210</c:v>
                </c:pt>
                <c:pt idx="5">
                  <c:v>10215</c:v>
                </c:pt>
                <c:pt idx="6">
                  <c:v>10213</c:v>
                </c:pt>
                <c:pt idx="7">
                  <c:v>10213</c:v>
                </c:pt>
                <c:pt idx="8">
                  <c:v>10214</c:v>
                </c:pt>
                <c:pt idx="9">
                  <c:v>10202</c:v>
                </c:pt>
                <c:pt idx="10">
                  <c:v>9724</c:v>
                </c:pt>
                <c:pt idx="11">
                  <c:v>9586</c:v>
                </c:pt>
                <c:pt idx="12">
                  <c:v>9471</c:v>
                </c:pt>
                <c:pt idx="13">
                  <c:v>9418</c:v>
                </c:pt>
                <c:pt idx="14">
                  <c:v>9248</c:v>
                </c:pt>
                <c:pt idx="15">
                  <c:v>9175</c:v>
                </c:pt>
                <c:pt idx="16">
                  <c:v>9091</c:v>
                </c:pt>
                <c:pt idx="17">
                  <c:v>8987</c:v>
                </c:pt>
                <c:pt idx="18">
                  <c:v>8879</c:v>
                </c:pt>
                <c:pt idx="19">
                  <c:v>8862</c:v>
                </c:pt>
                <c:pt idx="20">
                  <c:v>8696</c:v>
                </c:pt>
                <c:pt idx="21">
                  <c:v>8619</c:v>
                </c:pt>
                <c:pt idx="22">
                  <c:v>8547</c:v>
                </c:pt>
                <c:pt idx="23">
                  <c:v>8458</c:v>
                </c:pt>
                <c:pt idx="24">
                  <c:v>8405</c:v>
                </c:pt>
                <c:pt idx="25">
                  <c:v>8372</c:v>
                </c:pt>
                <c:pt idx="26">
                  <c:v>8340</c:v>
                </c:pt>
                <c:pt idx="27">
                  <c:v>8282</c:v>
                </c:pt>
                <c:pt idx="28">
                  <c:v>8182</c:v>
                </c:pt>
                <c:pt idx="29">
                  <c:v>8127</c:v>
                </c:pt>
                <c:pt idx="30">
                  <c:v>8086</c:v>
                </c:pt>
                <c:pt idx="31">
                  <c:v>8032</c:v>
                </c:pt>
                <c:pt idx="32">
                  <c:v>7999</c:v>
                </c:pt>
                <c:pt idx="33">
                  <c:v>7956</c:v>
                </c:pt>
                <c:pt idx="34">
                  <c:v>7909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A5-4CFC-AC0C-6F42CF5689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42622624"/>
        <c:axId val="-2142616096"/>
      </c:scatterChart>
      <c:valAx>
        <c:axId val="-2142622624"/>
        <c:scaling>
          <c:orientation val="minMax"/>
        </c:scaling>
        <c:delete val="0"/>
        <c:axPos val="b"/>
        <c:numFmt formatCode="0.000" sourceLinked="1"/>
        <c:majorTickMark val="out"/>
        <c:minorTickMark val="none"/>
        <c:tickLblPos val="nextTo"/>
        <c:crossAx val="-2142616096"/>
        <c:crosses val="autoZero"/>
        <c:crossBetween val="midCat"/>
      </c:valAx>
      <c:valAx>
        <c:axId val="-214261609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-214262262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exemple!$E$27</c:f>
              <c:strCache>
                <c:ptCount val="1"/>
                <c:pt idx="0">
                  <c:v>Speed Fit(rpm)</c:v>
                </c:pt>
              </c:strCache>
            </c:strRef>
          </c:tx>
          <c:spPr>
            <a:ln w="28575">
              <a:noFill/>
            </a:ln>
          </c:spPr>
          <c:xVal>
            <c:numRef>
              <c:f>exemple!$C$28:$C$128</c:f>
              <c:numCache>
                <c:formatCode>0.000</c:formatCode>
                <c:ptCount val="101"/>
                <c:pt idx="0">
                  <c:v>0</c:v>
                </c:pt>
                <c:pt idx="1">
                  <c:v>1.7000000000000001E-2</c:v>
                </c:pt>
                <c:pt idx="2">
                  <c:v>1.7000000000000001E-2</c:v>
                </c:pt>
                <c:pt idx="3">
                  <c:v>2.5000000000000001E-2</c:v>
                </c:pt>
                <c:pt idx="4">
                  <c:v>2.8000000000000001E-2</c:v>
                </c:pt>
                <c:pt idx="5">
                  <c:v>3.1E-2</c:v>
                </c:pt>
                <c:pt idx="6">
                  <c:v>3.9E-2</c:v>
                </c:pt>
                <c:pt idx="7">
                  <c:v>5.7000000000000002E-2</c:v>
                </c:pt>
                <c:pt idx="8">
                  <c:v>4.8000000000000001E-2</c:v>
                </c:pt>
                <c:pt idx="9">
                  <c:v>6.8000000000000005E-2</c:v>
                </c:pt>
                <c:pt idx="10">
                  <c:v>5.6000000000000001E-2</c:v>
                </c:pt>
                <c:pt idx="11">
                  <c:v>7.0999999999999994E-2</c:v>
                </c:pt>
                <c:pt idx="12">
                  <c:v>8.3000000000000004E-2</c:v>
                </c:pt>
                <c:pt idx="13">
                  <c:v>0.08</c:v>
                </c:pt>
                <c:pt idx="14">
                  <c:v>9.5000000000000001E-2</c:v>
                </c:pt>
                <c:pt idx="15">
                  <c:v>0.17699999999999999</c:v>
                </c:pt>
                <c:pt idx="16">
                  <c:v>0.14199999999999999</c:v>
                </c:pt>
                <c:pt idx="17">
                  <c:v>0.125</c:v>
                </c:pt>
                <c:pt idx="18">
                  <c:v>0.17299999999999999</c:v>
                </c:pt>
                <c:pt idx="19">
                  <c:v>0.105</c:v>
                </c:pt>
                <c:pt idx="20">
                  <c:v>0.13800000000000001</c:v>
                </c:pt>
                <c:pt idx="21">
                  <c:v>0.13600000000000001</c:v>
                </c:pt>
                <c:pt idx="22">
                  <c:v>0.23899999999999999</c:v>
                </c:pt>
                <c:pt idx="23">
                  <c:v>0.13500000000000001</c:v>
                </c:pt>
                <c:pt idx="24">
                  <c:v>0.13100000000000001</c:v>
                </c:pt>
                <c:pt idx="25">
                  <c:v>0.191</c:v>
                </c:pt>
                <c:pt idx="26">
                  <c:v>0.14299999999999999</c:v>
                </c:pt>
                <c:pt idx="27">
                  <c:v>0.20799999999999999</c:v>
                </c:pt>
                <c:pt idx="28">
                  <c:v>0.191</c:v>
                </c:pt>
                <c:pt idx="29">
                  <c:v>0.191</c:v>
                </c:pt>
                <c:pt idx="30">
                  <c:v>0.20499999999999999</c:v>
                </c:pt>
                <c:pt idx="31">
                  <c:v>0.184</c:v>
                </c:pt>
                <c:pt idx="32">
                  <c:v>0.189</c:v>
                </c:pt>
                <c:pt idx="33">
                  <c:v>0.20300000000000001</c:v>
                </c:pt>
                <c:pt idx="34">
                  <c:v>0.2</c:v>
                </c:pt>
              </c:numCache>
            </c:numRef>
          </c:xVal>
          <c:yVal>
            <c:numRef>
              <c:f>exemple!$E$28:$E$128</c:f>
              <c:numCache>
                <c:formatCode>0.0</c:formatCode>
                <c:ptCount val="101"/>
                <c:pt idx="0">
                  <c:v>10465</c:v>
                </c:pt>
                <c:pt idx="1">
                  <c:v>10271</c:v>
                </c:pt>
                <c:pt idx="2">
                  <c:v>10273</c:v>
                </c:pt>
                <c:pt idx="3">
                  <c:v>10174</c:v>
                </c:pt>
                <c:pt idx="4">
                  <c:v>10142</c:v>
                </c:pt>
                <c:pt idx="5">
                  <c:v>10103</c:v>
                </c:pt>
                <c:pt idx="6">
                  <c:v>10018</c:v>
                </c:pt>
                <c:pt idx="7">
                  <c:v>9807</c:v>
                </c:pt>
                <c:pt idx="8">
                  <c:v>9912</c:v>
                </c:pt>
                <c:pt idx="9">
                  <c:v>9684</c:v>
                </c:pt>
                <c:pt idx="10">
                  <c:v>9818</c:v>
                </c:pt>
                <c:pt idx="11">
                  <c:v>9642</c:v>
                </c:pt>
                <c:pt idx="12">
                  <c:v>9505</c:v>
                </c:pt>
                <c:pt idx="13">
                  <c:v>9550</c:v>
                </c:pt>
                <c:pt idx="14">
                  <c:v>9375</c:v>
                </c:pt>
                <c:pt idx="15">
                  <c:v>8423</c:v>
                </c:pt>
                <c:pt idx="16">
                  <c:v>8829</c:v>
                </c:pt>
                <c:pt idx="17">
                  <c:v>9025</c:v>
                </c:pt>
                <c:pt idx="18">
                  <c:v>8475</c:v>
                </c:pt>
                <c:pt idx="19">
                  <c:v>9259</c:v>
                </c:pt>
                <c:pt idx="20">
                  <c:v>8881</c:v>
                </c:pt>
                <c:pt idx="21">
                  <c:v>8896</c:v>
                </c:pt>
                <c:pt idx="22">
                  <c:v>7715</c:v>
                </c:pt>
                <c:pt idx="23">
                  <c:v>8905</c:v>
                </c:pt>
                <c:pt idx="24">
                  <c:v>8954</c:v>
                </c:pt>
                <c:pt idx="25">
                  <c:v>8261</c:v>
                </c:pt>
                <c:pt idx="26">
                  <c:v>8824</c:v>
                </c:pt>
                <c:pt idx="27">
                  <c:v>8076</c:v>
                </c:pt>
                <c:pt idx="28">
                  <c:v>8264</c:v>
                </c:pt>
                <c:pt idx="29">
                  <c:v>8268</c:v>
                </c:pt>
                <c:pt idx="30">
                  <c:v>8101</c:v>
                </c:pt>
                <c:pt idx="31">
                  <c:v>8341</c:v>
                </c:pt>
                <c:pt idx="32">
                  <c:v>8284</c:v>
                </c:pt>
                <c:pt idx="33">
                  <c:v>8128</c:v>
                </c:pt>
                <c:pt idx="34">
                  <c:v>8163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B1-49B3-9D7F-D90F37A623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42624256"/>
        <c:axId val="-2142623712"/>
      </c:scatterChart>
      <c:valAx>
        <c:axId val="-2142624256"/>
        <c:scaling>
          <c:orientation val="minMax"/>
        </c:scaling>
        <c:delete val="0"/>
        <c:axPos val="b"/>
        <c:numFmt formatCode="0.000" sourceLinked="1"/>
        <c:majorTickMark val="out"/>
        <c:minorTickMark val="none"/>
        <c:tickLblPos val="nextTo"/>
        <c:crossAx val="-2142623712"/>
        <c:crosses val="autoZero"/>
        <c:crossBetween val="midCat"/>
      </c:valAx>
      <c:valAx>
        <c:axId val="-2142623712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crossAx val="-214262425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exemple!$F$27</c:f>
              <c:strCache>
                <c:ptCount val="1"/>
                <c:pt idx="0">
                  <c:v>Pin (W)</c:v>
                </c:pt>
              </c:strCache>
            </c:strRef>
          </c:tx>
          <c:spPr>
            <a:ln w="28575">
              <a:noFill/>
            </a:ln>
          </c:spPr>
          <c:xVal>
            <c:numRef>
              <c:f>exemple!$C$28:$C$128</c:f>
              <c:numCache>
                <c:formatCode>0.000</c:formatCode>
                <c:ptCount val="101"/>
                <c:pt idx="0">
                  <c:v>0</c:v>
                </c:pt>
                <c:pt idx="1">
                  <c:v>1.7000000000000001E-2</c:v>
                </c:pt>
                <c:pt idx="2">
                  <c:v>1.7000000000000001E-2</c:v>
                </c:pt>
                <c:pt idx="3">
                  <c:v>2.5000000000000001E-2</c:v>
                </c:pt>
                <c:pt idx="4">
                  <c:v>2.8000000000000001E-2</c:v>
                </c:pt>
                <c:pt idx="5">
                  <c:v>3.1E-2</c:v>
                </c:pt>
                <c:pt idx="6">
                  <c:v>3.9E-2</c:v>
                </c:pt>
                <c:pt idx="7">
                  <c:v>5.7000000000000002E-2</c:v>
                </c:pt>
                <c:pt idx="8">
                  <c:v>4.8000000000000001E-2</c:v>
                </c:pt>
                <c:pt idx="9">
                  <c:v>6.8000000000000005E-2</c:v>
                </c:pt>
                <c:pt idx="10">
                  <c:v>5.6000000000000001E-2</c:v>
                </c:pt>
                <c:pt idx="11">
                  <c:v>7.0999999999999994E-2</c:v>
                </c:pt>
                <c:pt idx="12">
                  <c:v>8.3000000000000004E-2</c:v>
                </c:pt>
                <c:pt idx="13">
                  <c:v>0.08</c:v>
                </c:pt>
                <c:pt idx="14">
                  <c:v>9.5000000000000001E-2</c:v>
                </c:pt>
                <c:pt idx="15">
                  <c:v>0.17699999999999999</c:v>
                </c:pt>
                <c:pt idx="16">
                  <c:v>0.14199999999999999</c:v>
                </c:pt>
                <c:pt idx="17">
                  <c:v>0.125</c:v>
                </c:pt>
                <c:pt idx="18">
                  <c:v>0.17299999999999999</c:v>
                </c:pt>
                <c:pt idx="19">
                  <c:v>0.105</c:v>
                </c:pt>
                <c:pt idx="20">
                  <c:v>0.13800000000000001</c:v>
                </c:pt>
                <c:pt idx="21">
                  <c:v>0.13600000000000001</c:v>
                </c:pt>
                <c:pt idx="22">
                  <c:v>0.23899999999999999</c:v>
                </c:pt>
                <c:pt idx="23">
                  <c:v>0.13500000000000001</c:v>
                </c:pt>
                <c:pt idx="24">
                  <c:v>0.13100000000000001</c:v>
                </c:pt>
                <c:pt idx="25">
                  <c:v>0.191</c:v>
                </c:pt>
                <c:pt idx="26">
                  <c:v>0.14299999999999999</c:v>
                </c:pt>
                <c:pt idx="27">
                  <c:v>0.20799999999999999</c:v>
                </c:pt>
                <c:pt idx="28">
                  <c:v>0.191</c:v>
                </c:pt>
                <c:pt idx="29">
                  <c:v>0.191</c:v>
                </c:pt>
                <c:pt idx="30">
                  <c:v>0.20499999999999999</c:v>
                </c:pt>
                <c:pt idx="31">
                  <c:v>0.184</c:v>
                </c:pt>
                <c:pt idx="32">
                  <c:v>0.189</c:v>
                </c:pt>
                <c:pt idx="33">
                  <c:v>0.20300000000000001</c:v>
                </c:pt>
                <c:pt idx="34">
                  <c:v>0.2</c:v>
                </c:pt>
              </c:numCache>
            </c:numRef>
          </c:xVal>
          <c:yVal>
            <c:numRef>
              <c:f>exemple!$F$28:$F$128</c:f>
              <c:numCache>
                <c:formatCode>0.0</c:formatCode>
                <c:ptCount val="101"/>
                <c:pt idx="0">
                  <c:v>44</c:v>
                </c:pt>
                <c:pt idx="1">
                  <c:v>44</c:v>
                </c:pt>
                <c:pt idx="2">
                  <c:v>43</c:v>
                </c:pt>
                <c:pt idx="3">
                  <c:v>43</c:v>
                </c:pt>
                <c:pt idx="4">
                  <c:v>43</c:v>
                </c:pt>
                <c:pt idx="5">
                  <c:v>44</c:v>
                </c:pt>
                <c:pt idx="6">
                  <c:v>43</c:v>
                </c:pt>
                <c:pt idx="7">
                  <c:v>43</c:v>
                </c:pt>
                <c:pt idx="8">
                  <c:v>44</c:v>
                </c:pt>
                <c:pt idx="9">
                  <c:v>44</c:v>
                </c:pt>
                <c:pt idx="10">
                  <c:v>88</c:v>
                </c:pt>
                <c:pt idx="11">
                  <c:v>100</c:v>
                </c:pt>
                <c:pt idx="12">
                  <c:v>110</c:v>
                </c:pt>
                <c:pt idx="13">
                  <c:v>116</c:v>
                </c:pt>
                <c:pt idx="14">
                  <c:v>132</c:v>
                </c:pt>
                <c:pt idx="15">
                  <c:v>141</c:v>
                </c:pt>
                <c:pt idx="16">
                  <c:v>148</c:v>
                </c:pt>
                <c:pt idx="17">
                  <c:v>157</c:v>
                </c:pt>
                <c:pt idx="18">
                  <c:v>166</c:v>
                </c:pt>
                <c:pt idx="19">
                  <c:v>168</c:v>
                </c:pt>
                <c:pt idx="20">
                  <c:v>182</c:v>
                </c:pt>
                <c:pt idx="21">
                  <c:v>192</c:v>
                </c:pt>
                <c:pt idx="22">
                  <c:v>198</c:v>
                </c:pt>
                <c:pt idx="23">
                  <c:v>208</c:v>
                </c:pt>
                <c:pt idx="24">
                  <c:v>211</c:v>
                </c:pt>
                <c:pt idx="25">
                  <c:v>215</c:v>
                </c:pt>
                <c:pt idx="26">
                  <c:v>218</c:v>
                </c:pt>
                <c:pt idx="27">
                  <c:v>223</c:v>
                </c:pt>
                <c:pt idx="28">
                  <c:v>231</c:v>
                </c:pt>
                <c:pt idx="29">
                  <c:v>236</c:v>
                </c:pt>
                <c:pt idx="30">
                  <c:v>240</c:v>
                </c:pt>
                <c:pt idx="31">
                  <c:v>245</c:v>
                </c:pt>
                <c:pt idx="32">
                  <c:v>249</c:v>
                </c:pt>
                <c:pt idx="33">
                  <c:v>254</c:v>
                </c:pt>
                <c:pt idx="34">
                  <c:v>258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B7-4879-BF53-3F7E8EA4E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42618272"/>
        <c:axId val="-2142616640"/>
      </c:scatterChart>
      <c:valAx>
        <c:axId val="-2142618272"/>
        <c:scaling>
          <c:orientation val="minMax"/>
        </c:scaling>
        <c:delete val="0"/>
        <c:axPos val="b"/>
        <c:numFmt formatCode="0.000" sourceLinked="1"/>
        <c:majorTickMark val="out"/>
        <c:minorTickMark val="none"/>
        <c:tickLblPos val="nextTo"/>
        <c:crossAx val="-2142616640"/>
        <c:crosses val="autoZero"/>
        <c:crossBetween val="midCat"/>
      </c:valAx>
      <c:valAx>
        <c:axId val="-2142616640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crossAx val="-214261827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exemple!$G$27</c:f>
              <c:strCache>
                <c:ptCount val="1"/>
                <c:pt idx="0">
                  <c:v>Pout (W)</c:v>
                </c:pt>
              </c:strCache>
            </c:strRef>
          </c:tx>
          <c:spPr>
            <a:ln w="28575">
              <a:noFill/>
            </a:ln>
          </c:spPr>
          <c:xVal>
            <c:numRef>
              <c:f>exemple!$C$28:$C$128</c:f>
              <c:numCache>
                <c:formatCode>0.000</c:formatCode>
                <c:ptCount val="101"/>
                <c:pt idx="0">
                  <c:v>0</c:v>
                </c:pt>
                <c:pt idx="1">
                  <c:v>1.7000000000000001E-2</c:v>
                </c:pt>
                <c:pt idx="2">
                  <c:v>1.7000000000000001E-2</c:v>
                </c:pt>
                <c:pt idx="3">
                  <c:v>2.5000000000000001E-2</c:v>
                </c:pt>
                <c:pt idx="4">
                  <c:v>2.8000000000000001E-2</c:v>
                </c:pt>
                <c:pt idx="5">
                  <c:v>3.1E-2</c:v>
                </c:pt>
                <c:pt idx="6">
                  <c:v>3.9E-2</c:v>
                </c:pt>
                <c:pt idx="7">
                  <c:v>5.7000000000000002E-2</c:v>
                </c:pt>
                <c:pt idx="8">
                  <c:v>4.8000000000000001E-2</c:v>
                </c:pt>
                <c:pt idx="9">
                  <c:v>6.8000000000000005E-2</c:v>
                </c:pt>
                <c:pt idx="10">
                  <c:v>5.6000000000000001E-2</c:v>
                </c:pt>
                <c:pt idx="11">
                  <c:v>7.0999999999999994E-2</c:v>
                </c:pt>
                <c:pt idx="12">
                  <c:v>8.3000000000000004E-2</c:v>
                </c:pt>
                <c:pt idx="13">
                  <c:v>0.08</c:v>
                </c:pt>
                <c:pt idx="14">
                  <c:v>9.5000000000000001E-2</c:v>
                </c:pt>
                <c:pt idx="15">
                  <c:v>0.17699999999999999</c:v>
                </c:pt>
                <c:pt idx="16">
                  <c:v>0.14199999999999999</c:v>
                </c:pt>
                <c:pt idx="17">
                  <c:v>0.125</c:v>
                </c:pt>
                <c:pt idx="18">
                  <c:v>0.17299999999999999</c:v>
                </c:pt>
                <c:pt idx="19">
                  <c:v>0.105</c:v>
                </c:pt>
                <c:pt idx="20">
                  <c:v>0.13800000000000001</c:v>
                </c:pt>
                <c:pt idx="21">
                  <c:v>0.13600000000000001</c:v>
                </c:pt>
                <c:pt idx="22">
                  <c:v>0.23899999999999999</c:v>
                </c:pt>
                <c:pt idx="23">
                  <c:v>0.13500000000000001</c:v>
                </c:pt>
                <c:pt idx="24">
                  <c:v>0.13100000000000001</c:v>
                </c:pt>
                <c:pt idx="25">
                  <c:v>0.191</c:v>
                </c:pt>
                <c:pt idx="26">
                  <c:v>0.14299999999999999</c:v>
                </c:pt>
                <c:pt idx="27">
                  <c:v>0.20799999999999999</c:v>
                </c:pt>
                <c:pt idx="28">
                  <c:v>0.191</c:v>
                </c:pt>
                <c:pt idx="29">
                  <c:v>0.191</c:v>
                </c:pt>
                <c:pt idx="30">
                  <c:v>0.20499999999999999</c:v>
                </c:pt>
                <c:pt idx="31">
                  <c:v>0.184</c:v>
                </c:pt>
                <c:pt idx="32">
                  <c:v>0.189</c:v>
                </c:pt>
                <c:pt idx="33">
                  <c:v>0.20300000000000001</c:v>
                </c:pt>
                <c:pt idx="34">
                  <c:v>0.2</c:v>
                </c:pt>
              </c:numCache>
            </c:numRef>
          </c:xVal>
          <c:yVal>
            <c:numRef>
              <c:f>exemple!$G$28:$G$128</c:f>
              <c:numCache>
                <c:formatCode>0.00</c:formatCode>
                <c:ptCount val="101"/>
                <c:pt idx="0">
                  <c:v>18</c:v>
                </c:pt>
                <c:pt idx="1">
                  <c:v>18</c:v>
                </c:pt>
                <c:pt idx="2">
                  <c:v>18</c:v>
                </c:pt>
                <c:pt idx="3">
                  <c:v>27</c:v>
                </c:pt>
                <c:pt idx="4">
                  <c:v>30</c:v>
                </c:pt>
                <c:pt idx="5">
                  <c:v>34</c:v>
                </c:pt>
                <c:pt idx="6">
                  <c:v>42</c:v>
                </c:pt>
                <c:pt idx="7">
                  <c:v>61</c:v>
                </c:pt>
                <c:pt idx="8">
                  <c:v>51</c:v>
                </c:pt>
                <c:pt idx="9">
                  <c:v>72</c:v>
                </c:pt>
                <c:pt idx="10">
                  <c:v>57</c:v>
                </c:pt>
                <c:pt idx="11">
                  <c:v>72</c:v>
                </c:pt>
                <c:pt idx="12">
                  <c:v>83</c:v>
                </c:pt>
                <c:pt idx="13">
                  <c:v>78</c:v>
                </c:pt>
                <c:pt idx="14">
                  <c:v>92</c:v>
                </c:pt>
                <c:pt idx="15">
                  <c:v>170</c:v>
                </c:pt>
                <c:pt idx="16">
                  <c:v>135</c:v>
                </c:pt>
                <c:pt idx="17">
                  <c:v>118</c:v>
                </c:pt>
                <c:pt idx="18">
                  <c:v>161</c:v>
                </c:pt>
                <c:pt idx="19">
                  <c:v>97</c:v>
                </c:pt>
                <c:pt idx="20">
                  <c:v>125</c:v>
                </c:pt>
                <c:pt idx="21">
                  <c:v>123</c:v>
                </c:pt>
                <c:pt idx="22">
                  <c:v>214</c:v>
                </c:pt>
                <c:pt idx="23">
                  <c:v>120</c:v>
                </c:pt>
                <c:pt idx="24">
                  <c:v>116</c:v>
                </c:pt>
                <c:pt idx="25">
                  <c:v>168</c:v>
                </c:pt>
                <c:pt idx="26">
                  <c:v>125</c:v>
                </c:pt>
                <c:pt idx="27">
                  <c:v>180</c:v>
                </c:pt>
                <c:pt idx="28">
                  <c:v>164</c:v>
                </c:pt>
                <c:pt idx="29">
                  <c:v>162</c:v>
                </c:pt>
                <c:pt idx="30">
                  <c:v>174</c:v>
                </c:pt>
                <c:pt idx="31">
                  <c:v>155</c:v>
                </c:pt>
                <c:pt idx="32">
                  <c:v>159</c:v>
                </c:pt>
                <c:pt idx="33">
                  <c:v>169</c:v>
                </c:pt>
                <c:pt idx="34">
                  <c:v>169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F8-443A-87EF-F586FB7E7F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42615552"/>
        <c:axId val="-2142627520"/>
      </c:scatterChart>
      <c:valAx>
        <c:axId val="-2142615552"/>
        <c:scaling>
          <c:orientation val="minMax"/>
        </c:scaling>
        <c:delete val="0"/>
        <c:axPos val="b"/>
        <c:numFmt formatCode="0.000" sourceLinked="1"/>
        <c:majorTickMark val="out"/>
        <c:minorTickMark val="none"/>
        <c:tickLblPos val="nextTo"/>
        <c:crossAx val="-2142627520"/>
        <c:crosses val="autoZero"/>
        <c:crossBetween val="midCat"/>
      </c:valAx>
      <c:valAx>
        <c:axId val="-214262752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-21426155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exemple!$H$27</c:f>
              <c:strCache>
                <c:ptCount val="1"/>
                <c:pt idx="0">
                  <c:v>Efficency </c:v>
                </c:pt>
              </c:strCache>
            </c:strRef>
          </c:tx>
          <c:spPr>
            <a:ln w="28575">
              <a:noFill/>
            </a:ln>
          </c:spPr>
          <c:xVal>
            <c:numRef>
              <c:f>exemple!$C$28:$C$128</c:f>
              <c:numCache>
                <c:formatCode>0.000</c:formatCode>
                <c:ptCount val="101"/>
                <c:pt idx="0">
                  <c:v>0</c:v>
                </c:pt>
                <c:pt idx="1">
                  <c:v>1.7000000000000001E-2</c:v>
                </c:pt>
                <c:pt idx="2">
                  <c:v>1.7000000000000001E-2</c:v>
                </c:pt>
                <c:pt idx="3">
                  <c:v>2.5000000000000001E-2</c:v>
                </c:pt>
                <c:pt idx="4">
                  <c:v>2.8000000000000001E-2</c:v>
                </c:pt>
                <c:pt idx="5">
                  <c:v>3.1E-2</c:v>
                </c:pt>
                <c:pt idx="6">
                  <c:v>3.9E-2</c:v>
                </c:pt>
                <c:pt idx="7">
                  <c:v>5.7000000000000002E-2</c:v>
                </c:pt>
                <c:pt idx="8">
                  <c:v>4.8000000000000001E-2</c:v>
                </c:pt>
                <c:pt idx="9">
                  <c:v>6.8000000000000005E-2</c:v>
                </c:pt>
                <c:pt idx="10">
                  <c:v>5.6000000000000001E-2</c:v>
                </c:pt>
                <c:pt idx="11">
                  <c:v>7.0999999999999994E-2</c:v>
                </c:pt>
                <c:pt idx="12">
                  <c:v>8.3000000000000004E-2</c:v>
                </c:pt>
                <c:pt idx="13">
                  <c:v>0.08</c:v>
                </c:pt>
                <c:pt idx="14">
                  <c:v>9.5000000000000001E-2</c:v>
                </c:pt>
                <c:pt idx="15">
                  <c:v>0.17699999999999999</c:v>
                </c:pt>
                <c:pt idx="16">
                  <c:v>0.14199999999999999</c:v>
                </c:pt>
                <c:pt idx="17">
                  <c:v>0.125</c:v>
                </c:pt>
                <c:pt idx="18">
                  <c:v>0.17299999999999999</c:v>
                </c:pt>
                <c:pt idx="19">
                  <c:v>0.105</c:v>
                </c:pt>
                <c:pt idx="20">
                  <c:v>0.13800000000000001</c:v>
                </c:pt>
                <c:pt idx="21">
                  <c:v>0.13600000000000001</c:v>
                </c:pt>
                <c:pt idx="22">
                  <c:v>0.23899999999999999</c:v>
                </c:pt>
                <c:pt idx="23">
                  <c:v>0.13500000000000001</c:v>
                </c:pt>
                <c:pt idx="24">
                  <c:v>0.13100000000000001</c:v>
                </c:pt>
                <c:pt idx="25">
                  <c:v>0.191</c:v>
                </c:pt>
                <c:pt idx="26">
                  <c:v>0.14299999999999999</c:v>
                </c:pt>
                <c:pt idx="27">
                  <c:v>0.20799999999999999</c:v>
                </c:pt>
                <c:pt idx="28">
                  <c:v>0.191</c:v>
                </c:pt>
                <c:pt idx="29">
                  <c:v>0.191</c:v>
                </c:pt>
                <c:pt idx="30">
                  <c:v>0.20499999999999999</c:v>
                </c:pt>
                <c:pt idx="31">
                  <c:v>0.184</c:v>
                </c:pt>
                <c:pt idx="32">
                  <c:v>0.189</c:v>
                </c:pt>
                <c:pt idx="33">
                  <c:v>0.20300000000000001</c:v>
                </c:pt>
                <c:pt idx="34">
                  <c:v>0.2</c:v>
                </c:pt>
              </c:numCache>
            </c:numRef>
          </c:xVal>
          <c:yVal>
            <c:numRef>
              <c:f>exemple!$H$28:$H$128</c:f>
              <c:numCache>
                <c:formatCode>0.0</c:formatCode>
                <c:ptCount val="101"/>
                <c:pt idx="0">
                  <c:v>41</c:v>
                </c:pt>
                <c:pt idx="1">
                  <c:v>41</c:v>
                </c:pt>
                <c:pt idx="2">
                  <c:v>41</c:v>
                </c:pt>
                <c:pt idx="3">
                  <c:v>63</c:v>
                </c:pt>
                <c:pt idx="4">
                  <c:v>70</c:v>
                </c:pt>
                <c:pt idx="5">
                  <c:v>77</c:v>
                </c:pt>
                <c:pt idx="6">
                  <c:v>96</c:v>
                </c:pt>
                <c:pt idx="7">
                  <c:v>142</c:v>
                </c:pt>
                <c:pt idx="8">
                  <c:v>118</c:v>
                </c:pt>
                <c:pt idx="9">
                  <c:v>166</c:v>
                </c:pt>
                <c:pt idx="10">
                  <c:v>65</c:v>
                </c:pt>
                <c:pt idx="11">
                  <c:v>72</c:v>
                </c:pt>
                <c:pt idx="12">
                  <c:v>75</c:v>
                </c:pt>
                <c:pt idx="13">
                  <c:v>68</c:v>
                </c:pt>
                <c:pt idx="14">
                  <c:v>69</c:v>
                </c:pt>
                <c:pt idx="15">
                  <c:v>121</c:v>
                </c:pt>
                <c:pt idx="16">
                  <c:v>92</c:v>
                </c:pt>
                <c:pt idx="17">
                  <c:v>75</c:v>
                </c:pt>
                <c:pt idx="18">
                  <c:v>97</c:v>
                </c:pt>
                <c:pt idx="19">
                  <c:v>58</c:v>
                </c:pt>
                <c:pt idx="20">
                  <c:v>69</c:v>
                </c:pt>
                <c:pt idx="21">
                  <c:v>64</c:v>
                </c:pt>
                <c:pt idx="22">
                  <c:v>108</c:v>
                </c:pt>
                <c:pt idx="23">
                  <c:v>58</c:v>
                </c:pt>
                <c:pt idx="24">
                  <c:v>55</c:v>
                </c:pt>
                <c:pt idx="25">
                  <c:v>78</c:v>
                </c:pt>
                <c:pt idx="26">
                  <c:v>57</c:v>
                </c:pt>
                <c:pt idx="27">
                  <c:v>81</c:v>
                </c:pt>
                <c:pt idx="28">
                  <c:v>71</c:v>
                </c:pt>
                <c:pt idx="29">
                  <c:v>69</c:v>
                </c:pt>
                <c:pt idx="30">
                  <c:v>73</c:v>
                </c:pt>
                <c:pt idx="31">
                  <c:v>63</c:v>
                </c:pt>
                <c:pt idx="32">
                  <c:v>64</c:v>
                </c:pt>
                <c:pt idx="33">
                  <c:v>67</c:v>
                </c:pt>
                <c:pt idx="34">
                  <c:v>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09-43D2-9D10-9FC5531ED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42624800"/>
        <c:axId val="-2142622080"/>
      </c:scatterChart>
      <c:valAx>
        <c:axId val="-2142624800"/>
        <c:scaling>
          <c:orientation val="minMax"/>
        </c:scaling>
        <c:delete val="0"/>
        <c:axPos val="b"/>
        <c:numFmt formatCode="0.000" sourceLinked="1"/>
        <c:majorTickMark val="out"/>
        <c:minorTickMark val="none"/>
        <c:tickLblPos val="nextTo"/>
        <c:crossAx val="-2142622080"/>
        <c:crosses val="autoZero"/>
        <c:crossBetween val="midCat"/>
      </c:valAx>
      <c:valAx>
        <c:axId val="-2142622080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crossAx val="-21426248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NUL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589404</xdr:colOff>
      <xdr:row>0</xdr:row>
      <xdr:rowOff>81523</xdr:rowOff>
    </xdr:from>
    <xdr:to>
      <xdr:col>14</xdr:col>
      <xdr:colOff>628651</xdr:colOff>
      <xdr:row>37</xdr:row>
      <xdr:rowOff>168088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490" t="15326" r="61350" b="11980"/>
        <a:stretch/>
      </xdr:blipFill>
      <xdr:spPr>
        <a:xfrm>
          <a:off x="5161404" y="81523"/>
          <a:ext cx="6135247" cy="7135065"/>
        </a:xfrm>
        <a:prstGeom prst="rect">
          <a:avLst/>
        </a:prstGeom>
      </xdr:spPr>
    </xdr:pic>
    <xdr:clientData/>
  </xdr:twoCellAnchor>
  <xdr:twoCellAnchor editAs="oneCell">
    <xdr:from>
      <xdr:col>6</xdr:col>
      <xdr:colOff>102704</xdr:colOff>
      <xdr:row>39</xdr:row>
      <xdr:rowOff>157897</xdr:rowOff>
    </xdr:from>
    <xdr:to>
      <xdr:col>8</xdr:col>
      <xdr:colOff>664680</xdr:colOff>
      <xdr:row>43</xdr:row>
      <xdr:rowOff>13667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9409" t="38984" r="41406" b="53158"/>
        <a:stretch/>
      </xdr:blipFill>
      <xdr:spPr>
        <a:xfrm>
          <a:off x="4674704" y="8539897"/>
          <a:ext cx="2085976" cy="617770"/>
        </a:xfrm>
        <a:prstGeom prst="rect">
          <a:avLst/>
        </a:prstGeom>
      </xdr:spPr>
    </xdr:pic>
    <xdr:clientData/>
  </xdr:twoCellAnchor>
  <xdr:twoCellAnchor editAs="oneCell">
    <xdr:from>
      <xdr:col>6</xdr:col>
      <xdr:colOff>136385</xdr:colOff>
      <xdr:row>47</xdr:row>
      <xdr:rowOff>44066</xdr:rowOff>
    </xdr:from>
    <xdr:to>
      <xdr:col>10</xdr:col>
      <xdr:colOff>272457</xdr:colOff>
      <xdr:row>50</xdr:row>
      <xdr:rowOff>98495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0821" t="29887" r="29514" b="63407"/>
        <a:stretch/>
      </xdr:blipFill>
      <xdr:spPr>
        <a:xfrm>
          <a:off x="4708385" y="9569066"/>
          <a:ext cx="3184072" cy="625929"/>
        </a:xfrm>
        <a:prstGeom prst="rect">
          <a:avLst/>
        </a:prstGeom>
      </xdr:spPr>
    </xdr:pic>
    <xdr:clientData/>
  </xdr:twoCellAnchor>
  <xdr:twoCellAnchor editAs="oneCell">
    <xdr:from>
      <xdr:col>10</xdr:col>
      <xdr:colOff>526676</xdr:colOff>
      <xdr:row>38</xdr:row>
      <xdr:rowOff>140582</xdr:rowOff>
    </xdr:from>
    <xdr:to>
      <xdr:col>18</xdr:col>
      <xdr:colOff>582504</xdr:colOff>
      <xdr:row>56</xdr:row>
      <xdr:rowOff>33617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9140" t="13806" r="25843" b="42976"/>
        <a:stretch/>
      </xdr:blipFill>
      <xdr:spPr>
        <a:xfrm>
          <a:off x="8146676" y="7379582"/>
          <a:ext cx="6151828" cy="33220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707572</xdr:colOff>
      <xdr:row>26</xdr:row>
      <xdr:rowOff>23133</xdr:rowOff>
    </xdr:from>
    <xdr:to>
      <xdr:col>46</xdr:col>
      <xdr:colOff>707572</xdr:colOff>
      <xdr:row>40</xdr:row>
      <xdr:rowOff>99333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46</xdr:col>
      <xdr:colOff>721178</xdr:colOff>
      <xdr:row>26</xdr:row>
      <xdr:rowOff>36739</xdr:rowOff>
    </xdr:from>
    <xdr:to>
      <xdr:col>52</xdr:col>
      <xdr:colOff>721178</xdr:colOff>
      <xdr:row>40</xdr:row>
      <xdr:rowOff>112939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707572</xdr:colOff>
      <xdr:row>40</xdr:row>
      <xdr:rowOff>91168</xdr:rowOff>
    </xdr:from>
    <xdr:to>
      <xdr:col>46</xdr:col>
      <xdr:colOff>707572</xdr:colOff>
      <xdr:row>54</xdr:row>
      <xdr:rowOff>167368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721179</xdr:colOff>
      <xdr:row>40</xdr:row>
      <xdr:rowOff>118382</xdr:rowOff>
    </xdr:from>
    <xdr:to>
      <xdr:col>52</xdr:col>
      <xdr:colOff>721179</xdr:colOff>
      <xdr:row>55</xdr:row>
      <xdr:rowOff>4082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40</xdr:col>
      <xdr:colOff>707571</xdr:colOff>
      <xdr:row>55</xdr:row>
      <xdr:rowOff>9525</xdr:rowOff>
    </xdr:from>
    <xdr:to>
      <xdr:col>46</xdr:col>
      <xdr:colOff>707571</xdr:colOff>
      <xdr:row>69</xdr:row>
      <xdr:rowOff>85725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2"/>
  <sheetViews>
    <sheetView zoomScale="85" zoomScaleNormal="85" workbookViewId="0">
      <selection activeCell="C56" sqref="C56"/>
    </sheetView>
  </sheetViews>
  <sheetFormatPr baseColWidth="10" defaultColWidth="11.42578125" defaultRowHeight="15" x14ac:dyDescent="0.25"/>
  <sheetData>
    <row r="2" spans="2:8" x14ac:dyDescent="0.25">
      <c r="B2" s="7"/>
      <c r="C2" s="7" t="s">
        <v>1</v>
      </c>
      <c r="D2" s="7" t="s">
        <v>2</v>
      </c>
      <c r="E2" s="7" t="s">
        <v>3</v>
      </c>
      <c r="F2" s="7" t="s">
        <v>4</v>
      </c>
      <c r="G2" s="4"/>
      <c r="H2" s="3"/>
    </row>
    <row r="3" spans="2:8" x14ac:dyDescent="0.25">
      <c r="B3" s="7">
        <v>1</v>
      </c>
      <c r="C3" s="14">
        <v>5.7</v>
      </c>
      <c r="D3" s="11">
        <v>32</v>
      </c>
      <c r="E3" s="11">
        <v>846</v>
      </c>
      <c r="F3" s="11">
        <v>650</v>
      </c>
      <c r="G3" s="21"/>
      <c r="H3" s="21"/>
    </row>
    <row r="4" spans="2:8" x14ac:dyDescent="0.25">
      <c r="B4" s="7">
        <v>2</v>
      </c>
      <c r="C4" s="15">
        <v>5.8</v>
      </c>
      <c r="D4" s="11">
        <v>39</v>
      </c>
      <c r="E4" s="12">
        <v>993</v>
      </c>
      <c r="F4" s="12">
        <v>790</v>
      </c>
      <c r="G4" s="21"/>
      <c r="H4" s="21"/>
    </row>
    <row r="5" spans="2:8" x14ac:dyDescent="0.25">
      <c r="B5" s="7">
        <v>3</v>
      </c>
      <c r="C5" s="14">
        <v>6.1</v>
      </c>
      <c r="D5" s="11">
        <v>29</v>
      </c>
      <c r="E5" s="11">
        <v>899</v>
      </c>
      <c r="F5" s="11">
        <v>730</v>
      </c>
      <c r="G5" s="21"/>
      <c r="H5" s="21"/>
    </row>
    <row r="6" spans="2:8" x14ac:dyDescent="0.25">
      <c r="B6" s="7">
        <v>4</v>
      </c>
      <c r="C6" s="14">
        <v>6.5</v>
      </c>
      <c r="D6" s="11">
        <v>44</v>
      </c>
      <c r="E6" s="11">
        <v>1390</v>
      </c>
      <c r="F6" s="11">
        <v>955</v>
      </c>
      <c r="G6" s="21"/>
      <c r="H6" s="21"/>
    </row>
    <row r="7" spans="2:8" x14ac:dyDescent="0.25">
      <c r="B7" s="7">
        <v>5</v>
      </c>
      <c r="C7" s="14">
        <v>6.8</v>
      </c>
      <c r="D7" s="11">
        <v>33</v>
      </c>
      <c r="E7" s="11">
        <v>1195</v>
      </c>
      <c r="F7" s="11">
        <v>895</v>
      </c>
      <c r="G7" s="21"/>
      <c r="H7" s="21"/>
    </row>
    <row r="8" spans="2:8" x14ac:dyDescent="0.25">
      <c r="B8" s="7">
        <v>6</v>
      </c>
      <c r="C8" s="14">
        <v>6.8</v>
      </c>
      <c r="D8" s="11">
        <v>32</v>
      </c>
      <c r="E8" s="11">
        <v>658</v>
      </c>
      <c r="F8" s="11">
        <v>740</v>
      </c>
      <c r="G8" s="21"/>
      <c r="H8" s="21"/>
    </row>
    <row r="9" spans="2:8" x14ac:dyDescent="0.25">
      <c r="B9" s="7">
        <v>7</v>
      </c>
      <c r="C9" s="14">
        <v>7.1</v>
      </c>
      <c r="D9" s="11">
        <v>55</v>
      </c>
      <c r="E9" s="11">
        <v>1331</v>
      </c>
      <c r="F9" s="11">
        <v>1010</v>
      </c>
      <c r="G9" s="21"/>
      <c r="H9" s="21"/>
    </row>
    <row r="10" spans="2:8" x14ac:dyDescent="0.25">
      <c r="B10" s="7">
        <v>8</v>
      </c>
      <c r="C10" s="14">
        <v>7.4</v>
      </c>
      <c r="D10" s="11">
        <v>74</v>
      </c>
      <c r="E10" s="11">
        <v>1597</v>
      </c>
      <c r="F10" s="11">
        <v>1080</v>
      </c>
      <c r="G10" s="21"/>
      <c r="H10" s="21"/>
    </row>
    <row r="11" spans="2:8" x14ac:dyDescent="0.25">
      <c r="B11" s="7">
        <v>9</v>
      </c>
      <c r="C11" s="14">
        <v>9</v>
      </c>
      <c r="D11" s="11">
        <v>74</v>
      </c>
      <c r="E11" s="11">
        <v>1761</v>
      </c>
      <c r="F11" s="11">
        <v>1100</v>
      </c>
      <c r="G11" s="21"/>
      <c r="H11" s="21"/>
    </row>
    <row r="12" spans="2:8" x14ac:dyDescent="0.25">
      <c r="B12" s="7">
        <v>10</v>
      </c>
      <c r="C12" s="14">
        <v>11.7</v>
      </c>
      <c r="D12" s="11">
        <v>101</v>
      </c>
      <c r="E12" s="11">
        <v>2165</v>
      </c>
      <c r="F12" s="11">
        <v>1500</v>
      </c>
      <c r="G12" s="21"/>
      <c r="H12" s="21"/>
    </row>
    <row r="13" spans="2:8" x14ac:dyDescent="0.25">
      <c r="B13" s="7">
        <v>11</v>
      </c>
      <c r="C13" s="14">
        <v>9.5</v>
      </c>
      <c r="D13" s="11">
        <v>85</v>
      </c>
      <c r="E13" s="11">
        <v>1983</v>
      </c>
      <c r="F13" s="11">
        <v>1075</v>
      </c>
      <c r="G13" s="21"/>
      <c r="H13" s="21"/>
    </row>
    <row r="14" spans="2:8" x14ac:dyDescent="0.25">
      <c r="B14" s="7">
        <v>12</v>
      </c>
      <c r="C14" s="14">
        <v>9.5</v>
      </c>
      <c r="D14" s="11">
        <v>85</v>
      </c>
      <c r="E14" s="11">
        <v>1984</v>
      </c>
      <c r="F14" s="11">
        <v>1155</v>
      </c>
      <c r="G14" s="21"/>
      <c r="H14" s="21"/>
    </row>
    <row r="15" spans="2:8" x14ac:dyDescent="0.25">
      <c r="B15" s="7">
        <v>13</v>
      </c>
      <c r="C15" s="14">
        <v>8.8000000000000007</v>
      </c>
      <c r="D15" s="11">
        <v>89</v>
      </c>
      <c r="E15" s="11">
        <v>1998</v>
      </c>
      <c r="F15" s="11">
        <v>1140</v>
      </c>
      <c r="G15" s="21"/>
      <c r="H15" s="21"/>
    </row>
    <row r="16" spans="2:8" x14ac:dyDescent="0.25">
      <c r="B16" s="7">
        <v>14</v>
      </c>
      <c r="C16" s="14">
        <v>9.3000000000000007</v>
      </c>
      <c r="D16" s="11">
        <v>65</v>
      </c>
      <c r="E16" s="11">
        <v>1580</v>
      </c>
      <c r="F16" s="11">
        <v>1080</v>
      </c>
      <c r="G16" s="21"/>
      <c r="H16" s="21"/>
    </row>
    <row r="17" spans="2:8" x14ac:dyDescent="0.25">
      <c r="B17" s="7">
        <v>15</v>
      </c>
      <c r="C17" s="14">
        <v>8.6</v>
      </c>
      <c r="D17" s="11">
        <v>54</v>
      </c>
      <c r="E17" s="11">
        <v>1390</v>
      </c>
      <c r="F17" s="11">
        <v>1110</v>
      </c>
      <c r="G17" s="21"/>
      <c r="H17" s="21"/>
    </row>
    <row r="18" spans="2:8" x14ac:dyDescent="0.25">
      <c r="B18" s="7">
        <v>16</v>
      </c>
      <c r="C18" s="14">
        <v>7.7</v>
      </c>
      <c r="D18" s="11">
        <v>66</v>
      </c>
      <c r="E18" s="11">
        <v>1396</v>
      </c>
      <c r="F18" s="11">
        <v>1140</v>
      </c>
      <c r="G18" s="21"/>
      <c r="H18" s="21"/>
    </row>
    <row r="19" spans="2:8" x14ac:dyDescent="0.25">
      <c r="B19" s="7">
        <v>17</v>
      </c>
      <c r="C19" s="14">
        <v>10.8</v>
      </c>
      <c r="D19" s="11">
        <v>106</v>
      </c>
      <c r="E19" s="11">
        <v>2435</v>
      </c>
      <c r="F19" s="11">
        <v>1370</v>
      </c>
      <c r="G19" s="21"/>
      <c r="H19" s="21"/>
    </row>
    <row r="20" spans="2:8" x14ac:dyDescent="0.25">
      <c r="B20" s="7">
        <v>18</v>
      </c>
      <c r="C20" s="14">
        <v>6.6</v>
      </c>
      <c r="D20" s="11">
        <v>55</v>
      </c>
      <c r="E20" s="11">
        <v>1242</v>
      </c>
      <c r="F20" s="11">
        <v>940</v>
      </c>
      <c r="G20" s="21"/>
      <c r="H20" s="21"/>
    </row>
    <row r="21" spans="2:8" x14ac:dyDescent="0.25">
      <c r="B21" s="7">
        <v>19</v>
      </c>
      <c r="C21" s="14">
        <v>11.7</v>
      </c>
      <c r="D21" s="11">
        <v>107</v>
      </c>
      <c r="E21" s="11">
        <v>2972</v>
      </c>
      <c r="F21" s="11">
        <v>1400</v>
      </c>
      <c r="G21" s="21"/>
      <c r="H21" s="21"/>
    </row>
    <row r="22" spans="2:8" x14ac:dyDescent="0.25">
      <c r="B22" s="7">
        <v>20</v>
      </c>
      <c r="C22" s="14">
        <v>11.9</v>
      </c>
      <c r="D22" s="11">
        <v>150</v>
      </c>
      <c r="E22" s="11">
        <v>2958</v>
      </c>
      <c r="F22" s="11">
        <v>1550</v>
      </c>
      <c r="G22" s="21"/>
      <c r="H22" s="21"/>
    </row>
    <row r="23" spans="2:8" x14ac:dyDescent="0.25">
      <c r="B23" s="7">
        <v>21</v>
      </c>
      <c r="C23" s="14">
        <v>10.8</v>
      </c>
      <c r="D23" s="11">
        <v>122</v>
      </c>
      <c r="E23" s="11">
        <v>2497</v>
      </c>
      <c r="F23" s="11">
        <v>1330</v>
      </c>
      <c r="G23" s="21"/>
      <c r="H23" s="21"/>
    </row>
    <row r="24" spans="2:8" x14ac:dyDescent="0.25">
      <c r="B24" s="7">
        <v>22</v>
      </c>
      <c r="C24" s="14">
        <v>7.6</v>
      </c>
      <c r="D24" s="11">
        <v>66</v>
      </c>
      <c r="E24" s="11">
        <v>1998</v>
      </c>
      <c r="F24" s="11">
        <v>1300</v>
      </c>
      <c r="G24" s="21"/>
      <c r="H24" s="21"/>
    </row>
    <row r="25" spans="2:8" x14ac:dyDescent="0.25">
      <c r="B25" s="7">
        <v>23</v>
      </c>
      <c r="C25" s="14">
        <v>11.3</v>
      </c>
      <c r="D25" s="11">
        <v>125</v>
      </c>
      <c r="E25" s="11">
        <v>2496</v>
      </c>
      <c r="F25" s="11">
        <v>1670</v>
      </c>
      <c r="G25" s="21"/>
      <c r="H25" s="21"/>
    </row>
    <row r="26" spans="2:8" x14ac:dyDescent="0.25">
      <c r="B26" s="7">
        <v>24</v>
      </c>
      <c r="C26" s="14">
        <v>10.8</v>
      </c>
      <c r="D26" s="11">
        <v>89</v>
      </c>
      <c r="E26" s="11">
        <v>1998</v>
      </c>
      <c r="F26" s="11">
        <v>1560</v>
      </c>
      <c r="G26" s="21"/>
      <c r="H26" s="21"/>
    </row>
    <row r="27" spans="2:8" x14ac:dyDescent="0.25">
      <c r="B27" s="7">
        <v>25</v>
      </c>
      <c r="C27" s="14">
        <v>9.1999999999999993</v>
      </c>
      <c r="D27" s="11">
        <v>92</v>
      </c>
      <c r="E27" s="11">
        <v>1997</v>
      </c>
      <c r="F27" s="11">
        <v>1240</v>
      </c>
      <c r="G27" s="21"/>
      <c r="H27" s="21"/>
    </row>
    <row r="28" spans="2:8" x14ac:dyDescent="0.25">
      <c r="B28" s="7">
        <v>26</v>
      </c>
      <c r="C28" s="16">
        <v>11.6</v>
      </c>
      <c r="D28" s="13">
        <v>85</v>
      </c>
      <c r="E28" s="13">
        <v>1984</v>
      </c>
      <c r="F28" s="13">
        <v>1635</v>
      </c>
      <c r="G28" s="21"/>
      <c r="H28" s="21"/>
    </row>
    <row r="29" spans="2:8" x14ac:dyDescent="0.25">
      <c r="B29" s="7">
        <v>27</v>
      </c>
      <c r="C29" s="16">
        <v>12.8</v>
      </c>
      <c r="D29" s="13">
        <v>97</v>
      </c>
      <c r="E29" s="13">
        <v>2438</v>
      </c>
      <c r="F29" s="13">
        <v>1800</v>
      </c>
      <c r="G29" s="21"/>
      <c r="H29" s="21"/>
    </row>
    <row r="30" spans="2:8" x14ac:dyDescent="0.25">
      <c r="B30" s="7">
        <v>28</v>
      </c>
      <c r="C30" s="16">
        <v>12.7</v>
      </c>
      <c r="D30" s="13">
        <v>125</v>
      </c>
      <c r="E30" s="13">
        <v>2473</v>
      </c>
      <c r="F30" s="13">
        <v>1570</v>
      </c>
      <c r="G30" s="21"/>
      <c r="H30" s="21"/>
    </row>
    <row r="31" spans="2:8" x14ac:dyDescent="0.25">
      <c r="B31" s="7" t="s">
        <v>9</v>
      </c>
      <c r="C31" s="16">
        <f>AVERAGE(C3:C30)</f>
        <v>9.0749999999999993</v>
      </c>
      <c r="D31" s="16">
        <f t="shared" ref="D31:F31" si="0">AVERAGE(D3:D30)</f>
        <v>77.714285714285708</v>
      </c>
      <c r="E31" s="16">
        <f>AVERAGE(E3:E30)</f>
        <v>1809.0714285714287</v>
      </c>
      <c r="F31" s="16">
        <f t="shared" si="0"/>
        <v>1196.9642857142858</v>
      </c>
      <c r="G31" s="21"/>
    </row>
    <row r="33" spans="2:6" x14ac:dyDescent="0.25">
      <c r="B33" s="124" t="s">
        <v>5</v>
      </c>
      <c r="C33" s="125"/>
      <c r="D33" s="125"/>
      <c r="E33" s="125"/>
      <c r="F33" s="126"/>
    </row>
    <row r="34" spans="2:6" x14ac:dyDescent="0.25">
      <c r="B34" s="1" t="s">
        <v>8</v>
      </c>
      <c r="C34" s="1" t="s">
        <v>1</v>
      </c>
      <c r="D34" s="1" t="s">
        <v>2</v>
      </c>
      <c r="E34" s="1" t="s">
        <v>3</v>
      </c>
      <c r="F34" s="1" t="s">
        <v>4</v>
      </c>
    </row>
    <row r="35" spans="2:6" x14ac:dyDescent="0.25">
      <c r="B35" s="1" t="s">
        <v>1</v>
      </c>
      <c r="C35" s="13">
        <v>1</v>
      </c>
      <c r="D35" s="18">
        <f t="shared" ref="D35:F35" si="1">CORREL($C$3:$C$30,D3:D30)</f>
        <v>0.88780851704807884</v>
      </c>
      <c r="E35" s="18">
        <f t="shared" si="1"/>
        <v>0.8918662579043769</v>
      </c>
      <c r="F35" s="18">
        <f t="shared" si="1"/>
        <v>0.92632639818669704</v>
      </c>
    </row>
    <row r="36" spans="2:6" x14ac:dyDescent="0.25">
      <c r="B36" s="1" t="s">
        <v>2</v>
      </c>
      <c r="C36" s="7"/>
      <c r="D36" s="13">
        <v>1</v>
      </c>
      <c r="E36" s="18">
        <f t="shared" ref="E36:F36" si="2">CORREL($D$3:$D$30,E3:E30)</f>
        <v>0.94754909682670629</v>
      </c>
      <c r="F36" s="18">
        <f t="shared" si="2"/>
        <v>0.84334697347422716</v>
      </c>
    </row>
    <row r="37" spans="2:6" x14ac:dyDescent="0.25">
      <c r="B37" s="1" t="s">
        <v>3</v>
      </c>
      <c r="C37" s="7"/>
      <c r="D37" s="7"/>
      <c r="E37" s="13">
        <v>1</v>
      </c>
      <c r="F37" s="18">
        <f>CORREL($E$3:$E$30,F3:F30)</f>
        <v>0.86155646273515196</v>
      </c>
    </row>
    <row r="38" spans="2:6" x14ac:dyDescent="0.25">
      <c r="B38" s="1" t="s">
        <v>4</v>
      </c>
      <c r="C38" s="7"/>
      <c r="D38" s="7"/>
      <c r="E38" s="7"/>
      <c r="F38" s="13">
        <v>1</v>
      </c>
    </row>
    <row r="40" spans="2:6" x14ac:dyDescent="0.25">
      <c r="B40" s="123" t="s">
        <v>6</v>
      </c>
      <c r="C40" s="123"/>
      <c r="D40" s="123"/>
      <c r="E40" s="123"/>
      <c r="F40" s="123"/>
    </row>
    <row r="41" spans="2:6" x14ac:dyDescent="0.25">
      <c r="B41" s="1" t="s">
        <v>8</v>
      </c>
      <c r="C41" s="1" t="s">
        <v>1</v>
      </c>
      <c r="D41" s="1" t="s">
        <v>2</v>
      </c>
      <c r="E41" s="7" t="s">
        <v>3</v>
      </c>
      <c r="F41" s="1" t="s">
        <v>4</v>
      </c>
    </row>
    <row r="42" spans="2:6" x14ac:dyDescent="0.25">
      <c r="B42" s="1" t="s">
        <v>1</v>
      </c>
      <c r="C42" s="13">
        <v>1</v>
      </c>
      <c r="D42" s="18">
        <f>(D35-E36*E35)/SQRT((1-E36^2)*(1-E35^2))</f>
        <v>0.29552856057640903</v>
      </c>
      <c r="E42" s="8" t="s">
        <v>0</v>
      </c>
      <c r="F42" s="18">
        <f>(F35-F37*E35)/SQRT((1-F37^2)*(1-E35^2))</f>
        <v>0.68781765196197553</v>
      </c>
    </row>
    <row r="43" spans="2:6" x14ac:dyDescent="0.25">
      <c r="B43" s="1" t="s">
        <v>2</v>
      </c>
      <c r="C43" s="7"/>
      <c r="D43" s="13">
        <v>1</v>
      </c>
      <c r="E43" s="8" t="s">
        <v>0</v>
      </c>
      <c r="F43" s="18">
        <f>(F36-F37*E36)/SQRT((1-F37^2)*(1-E36^2))</f>
        <v>0.16628213825236585</v>
      </c>
    </row>
    <row r="44" spans="2:6" x14ac:dyDescent="0.25">
      <c r="B44" s="7" t="s">
        <v>3</v>
      </c>
      <c r="C44" s="7"/>
      <c r="D44" s="7"/>
      <c r="E44" s="19" t="s">
        <v>0</v>
      </c>
      <c r="F44" s="8" t="s">
        <v>0</v>
      </c>
    </row>
    <row r="45" spans="2:6" x14ac:dyDescent="0.25">
      <c r="B45" s="1" t="s">
        <v>4</v>
      </c>
      <c r="C45" s="7"/>
      <c r="D45" s="7"/>
      <c r="E45" s="7"/>
      <c r="F45" s="13">
        <v>1</v>
      </c>
    </row>
    <row r="47" spans="2:6" x14ac:dyDescent="0.25">
      <c r="B47" s="124" t="s">
        <v>7</v>
      </c>
      <c r="C47" s="125"/>
      <c r="D47" s="125"/>
      <c r="E47" s="125"/>
      <c r="F47" s="126"/>
    </row>
    <row r="48" spans="2:6" x14ac:dyDescent="0.25">
      <c r="B48" s="1" t="s">
        <v>8</v>
      </c>
      <c r="C48" s="1" t="s">
        <v>1</v>
      </c>
      <c r="D48" s="1" t="s">
        <v>2</v>
      </c>
      <c r="E48" s="7" t="s">
        <v>3</v>
      </c>
      <c r="F48" s="7" t="s">
        <v>4</v>
      </c>
    </row>
    <row r="49" spans="2:6" x14ac:dyDescent="0.25">
      <c r="B49" s="1" t="s">
        <v>1</v>
      </c>
      <c r="C49" s="13">
        <v>1</v>
      </c>
      <c r="D49" s="39">
        <f>(D42-F42*F43)/SQRT((1-F42^2)*(1-F43^2))</f>
        <v>0.25309074918677593</v>
      </c>
      <c r="E49" s="8" t="s">
        <v>0</v>
      </c>
      <c r="F49" s="20" t="s">
        <v>0</v>
      </c>
    </row>
    <row r="50" spans="2:6" x14ac:dyDescent="0.25">
      <c r="B50" s="1" t="s">
        <v>2</v>
      </c>
      <c r="C50" s="7"/>
      <c r="D50" s="13">
        <v>1</v>
      </c>
      <c r="E50" s="8" t="s">
        <v>0</v>
      </c>
      <c r="F50" s="20" t="s">
        <v>0</v>
      </c>
    </row>
    <row r="51" spans="2:6" x14ac:dyDescent="0.25">
      <c r="B51" s="7" t="s">
        <v>3</v>
      </c>
      <c r="C51" s="7"/>
      <c r="D51" s="7"/>
      <c r="E51" s="19" t="s">
        <v>0</v>
      </c>
      <c r="F51" s="8" t="s">
        <v>0</v>
      </c>
    </row>
    <row r="52" spans="2:6" x14ac:dyDescent="0.25">
      <c r="B52" s="1" t="s">
        <v>4</v>
      </c>
      <c r="C52" s="7"/>
      <c r="D52" s="7"/>
      <c r="E52" s="7"/>
      <c r="F52" s="19" t="s">
        <v>0</v>
      </c>
    </row>
  </sheetData>
  <mergeCells count="3">
    <mergeCell ref="B40:F40"/>
    <mergeCell ref="B47:F47"/>
    <mergeCell ref="B33:F33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Q152"/>
  <sheetViews>
    <sheetView showGridLines="0" zoomScale="70" zoomScaleNormal="70" workbookViewId="0">
      <selection activeCell="AP18" sqref="AP18"/>
    </sheetView>
  </sheetViews>
  <sheetFormatPr baseColWidth="10" defaultColWidth="11.42578125" defaultRowHeight="15" x14ac:dyDescent="0.25"/>
  <cols>
    <col min="2" max="2" width="20.7109375" customWidth="1"/>
    <col min="3" max="3" width="12.85546875" bestFit="1" customWidth="1"/>
    <col min="4" max="4" width="18.5703125" bestFit="1" customWidth="1"/>
    <col min="5" max="5" width="15" bestFit="1" customWidth="1"/>
    <col min="9" max="39" width="11.42578125" hidden="1" customWidth="1"/>
    <col min="40" max="40" width="11.42578125" customWidth="1"/>
  </cols>
  <sheetData>
    <row r="1" spans="2:8" ht="15.75" thickBot="1" x14ac:dyDescent="0.3"/>
    <row r="2" spans="2:8" x14ac:dyDescent="0.25">
      <c r="B2" s="136" t="s">
        <v>5</v>
      </c>
      <c r="C2" s="137"/>
      <c r="D2" s="137"/>
      <c r="E2" s="137"/>
      <c r="F2" s="137"/>
      <c r="G2" s="137"/>
      <c r="H2" s="138"/>
    </row>
    <row r="3" spans="2:8" x14ac:dyDescent="0.25">
      <c r="B3" s="50" t="s">
        <v>8</v>
      </c>
      <c r="C3" s="71" t="str">
        <f t="shared" ref="C3:H3" si="0">C27</f>
        <v>Torque (Nm)</v>
      </c>
      <c r="D3" s="71" t="str">
        <f t="shared" si="0"/>
        <v>Speed Mes.d(rpm)</v>
      </c>
      <c r="E3" s="71" t="str">
        <f t="shared" si="0"/>
        <v>Speed Fit(rpm)</v>
      </c>
      <c r="F3" s="71" t="str">
        <f t="shared" si="0"/>
        <v>Pin (W)</v>
      </c>
      <c r="G3" s="71" t="str">
        <f t="shared" si="0"/>
        <v>Pout (W)</v>
      </c>
      <c r="H3" s="64" t="str">
        <f t="shared" si="0"/>
        <v xml:space="preserve">Efficency </v>
      </c>
    </row>
    <row r="4" spans="2:8" x14ac:dyDescent="0.25">
      <c r="B4" s="50" t="str">
        <f>C3</f>
        <v>Torque (Nm)</v>
      </c>
      <c r="C4" s="13">
        <v>1</v>
      </c>
      <c r="D4" s="30">
        <f>CORREL($C$28:$C$128,D28:D128)</f>
        <v>-0.1595365094531232</v>
      </c>
      <c r="E4" s="30">
        <f>CORREL($C$28:$C$128,E28:E128)</f>
        <v>-0.99999004824736537</v>
      </c>
      <c r="F4" s="30">
        <f>CORREL($C$28:$C$128,F28:F128)</f>
        <v>0.92560930502923588</v>
      </c>
      <c r="G4" s="30">
        <f>CORREL($C$28:$C$128,G28:G128)</f>
        <v>0.99573267122564357</v>
      </c>
      <c r="H4" s="51">
        <f>CORREL($C$28:$C$128,H28:H128)</f>
        <v>6.6598826147933957E-2</v>
      </c>
    </row>
    <row r="5" spans="2:8" x14ac:dyDescent="0.25">
      <c r="B5" s="50" t="str">
        <f>D3</f>
        <v>Speed Mes.d(rpm)</v>
      </c>
      <c r="C5" s="7"/>
      <c r="D5" s="13">
        <v>1</v>
      </c>
      <c r="E5" s="33">
        <f>CORREL($D$28:$D$128,E28:E128)</f>
        <v>0.15953047802079931</v>
      </c>
      <c r="F5" s="33">
        <f>CORREL($D$28:$D$128,F28:F128)</f>
        <v>-0.26531765598913698</v>
      </c>
      <c r="G5" s="33">
        <f>CORREL($D$28:$D$128,G28:G128)</f>
        <v>-0.16949708800196697</v>
      </c>
      <c r="H5" s="52">
        <f>CORREL($D$28:$D$128,H28:H128)</f>
        <v>0.34512311445377691</v>
      </c>
    </row>
    <row r="6" spans="2:8" x14ac:dyDescent="0.25">
      <c r="B6" s="50" t="str">
        <f>E3</f>
        <v>Speed Fit(rpm)</v>
      </c>
      <c r="C6" s="7"/>
      <c r="D6" s="8"/>
      <c r="E6" s="13">
        <v>1</v>
      </c>
      <c r="F6" s="33">
        <f>CORREL($E$28:$E$128,F28:F128)</f>
        <v>-0.92568745632743099</v>
      </c>
      <c r="G6" s="33">
        <f>CORREL($E$28:$E$128,G28:G128)</f>
        <v>-0.9957196338539096</v>
      </c>
      <c r="H6" s="52">
        <f>CORREL($E$28:$E$128,H28:H128)</f>
        <v>-6.6623750133497348E-2</v>
      </c>
    </row>
    <row r="7" spans="2:8" x14ac:dyDescent="0.25">
      <c r="B7" s="50" t="str">
        <f>F3</f>
        <v>Pin (W)</v>
      </c>
      <c r="C7" s="7"/>
      <c r="D7" s="8"/>
      <c r="E7" s="8"/>
      <c r="F7" s="13">
        <v>1</v>
      </c>
      <c r="G7" s="33">
        <f>CORREL($F$28:$F$128,G28:G128)</f>
        <v>0.90084352911836418</v>
      </c>
      <c r="H7" s="52">
        <f>CORREL($F$28:$F$128,H28:H128)</f>
        <v>-0.23621555881815492</v>
      </c>
    </row>
    <row r="8" spans="2:8" x14ac:dyDescent="0.25">
      <c r="B8" s="53" t="str">
        <f>G3</f>
        <v>Pout (W)</v>
      </c>
      <c r="C8" s="7"/>
      <c r="D8" s="8"/>
      <c r="E8" s="8"/>
      <c r="F8" s="8"/>
      <c r="G8" s="13">
        <v>1</v>
      </c>
      <c r="H8" s="52">
        <f>CORREL($G$28:$G$128,H28:H128)</f>
        <v>0.11659513928783265</v>
      </c>
    </row>
    <row r="9" spans="2:8" ht="15.75" thickBot="1" x14ac:dyDescent="0.3">
      <c r="B9" s="54" t="str">
        <f>H3</f>
        <v xml:space="preserve">Efficency </v>
      </c>
      <c r="C9" s="55"/>
      <c r="D9" s="55"/>
      <c r="E9" s="55"/>
      <c r="F9" s="55"/>
      <c r="G9" s="55"/>
      <c r="H9" s="56">
        <v>1</v>
      </c>
    </row>
    <row r="10" spans="2:8" ht="15.75" thickBot="1" x14ac:dyDescent="0.3">
      <c r="B10" s="62"/>
      <c r="C10" s="62"/>
      <c r="D10" s="62"/>
      <c r="E10" s="62"/>
      <c r="F10" s="62"/>
      <c r="G10" s="62"/>
      <c r="H10" s="62"/>
    </row>
    <row r="11" spans="2:8" ht="15.75" thickBot="1" x14ac:dyDescent="0.3">
      <c r="B11" s="133" t="s">
        <v>28</v>
      </c>
      <c r="C11" s="134"/>
      <c r="D11" s="134"/>
      <c r="E11" s="134"/>
      <c r="F11" s="134"/>
      <c r="G11" s="134"/>
      <c r="H11" s="135"/>
    </row>
    <row r="12" spans="2:8" x14ac:dyDescent="0.25">
      <c r="B12" s="127" t="s">
        <v>58</v>
      </c>
      <c r="C12" s="114" t="s">
        <v>50</v>
      </c>
      <c r="D12" s="120" t="str">
        <f>D27</f>
        <v>Speed Mes.d(rpm)</v>
      </c>
      <c r="E12" s="119" t="str">
        <f>E27</f>
        <v>Speed Fit(rpm)</v>
      </c>
      <c r="F12" s="119" t="str">
        <f>F27</f>
        <v>Pin (W)</v>
      </c>
      <c r="G12" s="119" t="str">
        <f>G27</f>
        <v>Pout (W)</v>
      </c>
      <c r="H12" s="76" t="str">
        <f>H27</f>
        <v xml:space="preserve">Efficency </v>
      </c>
    </row>
    <row r="13" spans="2:8" x14ac:dyDescent="0.25">
      <c r="B13" s="128"/>
      <c r="C13" s="103" t="s">
        <v>36</v>
      </c>
      <c r="D13" s="88" t="str">
        <f>IF(C26=2,L32,"")</f>
        <v/>
      </c>
      <c r="E13" s="67" t="str">
        <f>IF(C26=2,R32,"")</f>
        <v/>
      </c>
      <c r="F13" s="110"/>
      <c r="G13" s="112"/>
      <c r="H13" s="96"/>
    </row>
    <row r="14" spans="2:8" x14ac:dyDescent="0.25">
      <c r="B14" s="128"/>
      <c r="C14" s="104" t="s">
        <v>33</v>
      </c>
      <c r="D14" s="91" t="str">
        <f>IF(C26=3,L45,"")</f>
        <v/>
      </c>
      <c r="E14" s="66" t="str">
        <f>IF(ISNUMBER(D14),M52,"")</f>
        <v/>
      </c>
      <c r="F14" s="66" t="str">
        <f>IF(ISNUMBER(E14),T45,"")</f>
        <v/>
      </c>
      <c r="G14" s="113"/>
      <c r="H14" s="96"/>
    </row>
    <row r="15" spans="2:8" x14ac:dyDescent="0.25">
      <c r="B15" s="128"/>
      <c r="C15" s="105" t="s">
        <v>34</v>
      </c>
      <c r="D15" s="92" t="str">
        <f>IF(C26=4,L114,"")</f>
        <v/>
      </c>
      <c r="E15" s="65" t="str">
        <f>IF(C26=4,T114,"")</f>
        <v/>
      </c>
      <c r="F15" s="65" t="str">
        <f>IF(C26=4,U67,"")</f>
        <v/>
      </c>
      <c r="G15" s="65" t="str">
        <f>IF(C26=4,V123,"")</f>
        <v/>
      </c>
      <c r="H15" s="96"/>
    </row>
    <row r="16" spans="2:8" ht="15.75" thickBot="1" x14ac:dyDescent="0.3">
      <c r="B16" s="129"/>
      <c r="C16" s="106" t="s">
        <v>35</v>
      </c>
      <c r="D16" s="90">
        <f>IF(C26=5,Z59,"")</f>
        <v>2.009262666500335E-2</v>
      </c>
      <c r="E16" s="68">
        <f>IF(C26=5,AI59,"")</f>
        <v>-0.99708404026369846</v>
      </c>
      <c r="F16" s="68">
        <f>IF(C26=5,AJ126,"")</f>
        <v>-4.8455730225152954E-2</v>
      </c>
      <c r="G16" s="68">
        <f>IF(C26=5,AK68,"")</f>
        <v>5.2658419909950516E-2</v>
      </c>
      <c r="H16" s="93">
        <f>IF(C26=5,AD126,"")</f>
        <v>-7.0955630203998435E-2</v>
      </c>
    </row>
    <row r="17" spans="2:38" ht="15.75" thickBot="1" x14ac:dyDescent="0.3"/>
    <row r="18" spans="2:38" ht="15.75" thickBot="1" x14ac:dyDescent="0.3">
      <c r="B18" s="133" t="s">
        <v>29</v>
      </c>
      <c r="C18" s="134"/>
      <c r="D18" s="134"/>
      <c r="E18" s="134"/>
      <c r="F18" s="134"/>
      <c r="G18" s="134"/>
      <c r="H18" s="135"/>
    </row>
    <row r="19" spans="2:38" x14ac:dyDescent="0.25">
      <c r="B19" s="97" t="s">
        <v>31</v>
      </c>
      <c r="C19" s="115" t="s">
        <v>50</v>
      </c>
      <c r="D19" s="99" t="str">
        <f>D27</f>
        <v>Speed Mes.d(rpm)</v>
      </c>
      <c r="E19" s="78" t="str">
        <f>E27</f>
        <v>Speed Fit(rpm)</v>
      </c>
      <c r="F19" s="78" t="str">
        <f>F27</f>
        <v>Pin (W)</v>
      </c>
      <c r="G19" s="79" t="str">
        <f>G27</f>
        <v>Pout (W)</v>
      </c>
      <c r="H19" s="80" t="str">
        <f>H27</f>
        <v xml:space="preserve">Efficency </v>
      </c>
    </row>
    <row r="20" spans="2:38" x14ac:dyDescent="0.25">
      <c r="B20" s="98">
        <f>TINV(0.05,COUNT(C28:C128)-3)</f>
        <v>2.0369333434601011</v>
      </c>
      <c r="C20" s="107" t="s">
        <v>36</v>
      </c>
      <c r="D20" s="88" t="str">
        <f>IF(C26=2,D13/SQRT((1-D13^2)/(COUNT($C$28:$C$128)-3)),"")</f>
        <v/>
      </c>
      <c r="E20" s="89" t="str">
        <f>IF(C26=2,E13/SQRT((1-E13^2)/(COUNT($C$28:$C$128)-3)),"")</f>
        <v/>
      </c>
      <c r="F20" s="110"/>
      <c r="G20" s="111"/>
      <c r="H20" s="95"/>
    </row>
    <row r="21" spans="2:38" x14ac:dyDescent="0.25">
      <c r="B21" s="100" t="s">
        <v>32</v>
      </c>
      <c r="C21" s="108" t="s">
        <v>33</v>
      </c>
      <c r="D21" s="85" t="str">
        <f>IF(C26=3,D14/SQRT((1-D14^2)/(COUNT($C$28:$C$128)-3)),"")</f>
        <v/>
      </c>
      <c r="E21" s="86" t="str">
        <f>IF(C26=3,E14/SQRT((1-E14^2)/(COUNT($C$28:$C$128)-3)),"")</f>
        <v/>
      </c>
      <c r="F21" s="87" t="str">
        <f>IF(C26=3,F14/SQRT((1-F14^2)/(COUNT($C$28:$C$128)-3)),"")</f>
        <v/>
      </c>
      <c r="G21" s="61"/>
      <c r="H21" s="96"/>
    </row>
    <row r="22" spans="2:38" x14ac:dyDescent="0.25">
      <c r="B22" s="101">
        <f>TINV(0.01,COUNT(C28:C128)-3)</f>
        <v>2.7384814820121886</v>
      </c>
      <c r="C22" s="109" t="s">
        <v>34</v>
      </c>
      <c r="D22" s="92" t="str">
        <f>IF(C26=4,D15/SQRT((1-D15^2)/(COUNT($C$28:$C$128)-3)),"")</f>
        <v/>
      </c>
      <c r="E22" s="65" t="str">
        <f>IF(C26=4,E15/SQRT((1-E15^2)/(COUNT($C$28:$C$128)-3)),"")</f>
        <v/>
      </c>
      <c r="F22" s="65" t="str">
        <f>IF(C26=4,F15/SQRT((1-F15^2)/(COUNT($C$28:$C$128)-3)),"")</f>
        <v/>
      </c>
      <c r="G22" s="65" t="str">
        <f>IF(C26=4,G15/SQRT((1-G15^2)/(COUNT($C$28:$C$128)-3)),"")</f>
        <v/>
      </c>
      <c r="H22" s="94"/>
    </row>
    <row r="23" spans="2:38" ht="15.75" thickBot="1" x14ac:dyDescent="0.3">
      <c r="B23" s="102"/>
      <c r="C23" s="106" t="s">
        <v>35</v>
      </c>
      <c r="D23" s="90">
        <f>IF(C26=5,D16/SQRT((1-D16^2)/(COUNT($C$28:$C$128)-3)),"")</f>
        <v>0.1136840107432017</v>
      </c>
      <c r="E23" s="68">
        <f>IF(C26=5,E16/SQRT((1-E16^2)/(COUNT($C$28:$C$128)-3)),"")</f>
        <v>-73.912488086243158</v>
      </c>
      <c r="F23" s="68">
        <f>IF(C26=5,F16/SQRT((1-F16^2)/(COUNT($C$28:$C$128)-3)),"")</f>
        <v>-0.27442936705697951</v>
      </c>
      <c r="G23" s="68">
        <f>IF(C26=5,G16/SQRT((1-G16^2)/(COUNT($C$28:$C$128)-3)),"")</f>
        <v>0.2982948658239431</v>
      </c>
      <c r="H23" s="93">
        <f>IF(C26=5,H16/SQRT((1-H16^2)/(COUNT($C$28:$C$128)-3)),"")</f>
        <v>-0.40239991820721649</v>
      </c>
    </row>
    <row r="24" spans="2:38" ht="15.75" thickBot="1" x14ac:dyDescent="0.3"/>
    <row r="25" spans="2:38" ht="18.75" customHeight="1" thickBot="1" x14ac:dyDescent="0.3">
      <c r="B25" s="148" t="s">
        <v>57</v>
      </c>
      <c r="C25" s="149"/>
      <c r="D25" s="149"/>
      <c r="E25" s="149"/>
      <c r="F25" s="149"/>
      <c r="G25" s="149"/>
      <c r="H25" s="150"/>
      <c r="I25" s="57"/>
    </row>
    <row r="26" spans="2:38" ht="15.75" customHeight="1" x14ac:dyDescent="0.25">
      <c r="B26" s="69" t="s">
        <v>38</v>
      </c>
      <c r="C26" s="121">
        <f>COUNT(D28:H28)</f>
        <v>5</v>
      </c>
      <c r="D26" s="151" t="s">
        <v>37</v>
      </c>
      <c r="E26" s="151"/>
      <c r="F26" s="151"/>
      <c r="G26" s="151"/>
      <c r="H26" s="152"/>
      <c r="I26" s="57"/>
    </row>
    <row r="27" spans="2:38" x14ac:dyDescent="0.25">
      <c r="B27" s="45"/>
      <c r="C27" s="155" t="s">
        <v>51</v>
      </c>
      <c r="D27" s="155" t="s">
        <v>52</v>
      </c>
      <c r="E27" s="155" t="s">
        <v>53</v>
      </c>
      <c r="F27" s="155" t="s">
        <v>54</v>
      </c>
      <c r="G27" s="155" t="s">
        <v>55</v>
      </c>
      <c r="H27" s="156" t="s">
        <v>56</v>
      </c>
      <c r="I27" s="3"/>
    </row>
    <row r="28" spans="2:38" x14ac:dyDescent="0.25">
      <c r="B28" s="45">
        <v>1</v>
      </c>
      <c r="C28" s="122">
        <v>0</v>
      </c>
      <c r="D28" s="65">
        <v>0</v>
      </c>
      <c r="E28" s="63">
        <v>10465</v>
      </c>
      <c r="F28" s="63">
        <v>44</v>
      </c>
      <c r="G28" s="65">
        <v>18</v>
      </c>
      <c r="H28" s="70">
        <v>41</v>
      </c>
      <c r="I28" s="34"/>
    </row>
    <row r="29" spans="2:38" x14ac:dyDescent="0.25">
      <c r="B29" s="45">
        <v>2</v>
      </c>
      <c r="C29" s="122">
        <v>1.7000000000000001E-2</v>
      </c>
      <c r="D29" s="65">
        <v>10206</v>
      </c>
      <c r="E29" s="63">
        <v>10271</v>
      </c>
      <c r="F29" s="63">
        <v>44</v>
      </c>
      <c r="G29" s="65">
        <v>18</v>
      </c>
      <c r="H29" s="70">
        <v>41</v>
      </c>
      <c r="I29" s="34"/>
    </row>
    <row r="30" spans="2:38" x14ac:dyDescent="0.25">
      <c r="B30" s="45">
        <v>3</v>
      </c>
      <c r="C30" s="122">
        <v>1.7000000000000001E-2</v>
      </c>
      <c r="D30" s="65">
        <v>10206</v>
      </c>
      <c r="E30" s="63">
        <v>10273</v>
      </c>
      <c r="F30" s="63">
        <v>43</v>
      </c>
      <c r="G30" s="65">
        <v>18</v>
      </c>
      <c r="H30" s="70">
        <v>41</v>
      </c>
      <c r="I30" s="34"/>
      <c r="J30" s="153" t="s">
        <v>16</v>
      </c>
      <c r="K30" s="153"/>
      <c r="L30" s="153"/>
      <c r="M30" s="153"/>
      <c r="O30" s="153" t="s">
        <v>17</v>
      </c>
      <c r="P30" s="153"/>
      <c r="Q30" s="153"/>
      <c r="R30" s="153"/>
      <c r="X30" s="144" t="s">
        <v>12</v>
      </c>
      <c r="Y30" s="145"/>
      <c r="Z30" s="145"/>
      <c r="AA30" s="145"/>
      <c r="AB30" s="145"/>
      <c r="AC30" s="145"/>
      <c r="AD30" s="146"/>
      <c r="AF30" s="144" t="s">
        <v>17</v>
      </c>
      <c r="AG30" s="145"/>
      <c r="AH30" s="145"/>
      <c r="AI30" s="145"/>
      <c r="AJ30" s="145"/>
      <c r="AK30" s="145"/>
      <c r="AL30" s="146"/>
    </row>
    <row r="31" spans="2:38" x14ac:dyDescent="0.25">
      <c r="B31" s="45">
        <v>4</v>
      </c>
      <c r="C31" s="122">
        <v>2.5000000000000001E-2</v>
      </c>
      <c r="D31" s="65">
        <v>10214</v>
      </c>
      <c r="E31" s="63">
        <v>10174</v>
      </c>
      <c r="F31" s="63">
        <v>43</v>
      </c>
      <c r="G31" s="65">
        <v>27</v>
      </c>
      <c r="H31" s="70">
        <v>63</v>
      </c>
      <c r="I31" s="34"/>
      <c r="J31" s="1" t="s">
        <v>8</v>
      </c>
      <c r="K31" s="1" t="s">
        <v>11</v>
      </c>
      <c r="L31" s="1" t="s">
        <v>1</v>
      </c>
      <c r="M31" s="7" t="s">
        <v>2</v>
      </c>
      <c r="O31" s="1" t="s">
        <v>8</v>
      </c>
      <c r="P31" s="1" t="s">
        <v>11</v>
      </c>
      <c r="Q31" s="7" t="s">
        <v>1</v>
      </c>
      <c r="R31" s="6" t="s">
        <v>2</v>
      </c>
      <c r="X31" s="1" t="s">
        <v>8</v>
      </c>
      <c r="Y31" s="1" t="s">
        <v>11</v>
      </c>
      <c r="Z31" s="1" t="s">
        <v>1</v>
      </c>
      <c r="AA31" s="6" t="s">
        <v>2</v>
      </c>
      <c r="AB31" s="1" t="s">
        <v>3</v>
      </c>
      <c r="AC31" s="1" t="s">
        <v>4</v>
      </c>
      <c r="AD31" s="7" t="s">
        <v>10</v>
      </c>
      <c r="AF31" s="17" t="s">
        <v>8</v>
      </c>
      <c r="AG31" s="17" t="s">
        <v>11</v>
      </c>
      <c r="AH31" s="7" t="s">
        <v>1</v>
      </c>
      <c r="AI31" s="6" t="s">
        <v>2</v>
      </c>
      <c r="AJ31" s="17" t="s">
        <v>3</v>
      </c>
      <c r="AK31" s="17" t="s">
        <v>4</v>
      </c>
      <c r="AL31" s="6" t="s">
        <v>10</v>
      </c>
    </row>
    <row r="32" spans="2:38" x14ac:dyDescent="0.25">
      <c r="B32" s="45">
        <v>5</v>
      </c>
      <c r="C32" s="122">
        <v>2.8000000000000001E-2</v>
      </c>
      <c r="D32" s="65">
        <v>10210</v>
      </c>
      <c r="E32" s="63">
        <v>10142</v>
      </c>
      <c r="F32" s="63">
        <v>43</v>
      </c>
      <c r="G32" s="65">
        <v>30</v>
      </c>
      <c r="H32" s="70">
        <v>70</v>
      </c>
      <c r="I32" s="34"/>
      <c r="J32" s="1" t="s">
        <v>11</v>
      </c>
      <c r="K32" s="13">
        <v>1</v>
      </c>
      <c r="L32" s="2">
        <f>(D4-E4*E5)/SQRT((1-E4^2)*(1-E5^2))</f>
        <v>-1.7299537457313636E-3</v>
      </c>
      <c r="M32" s="20"/>
      <c r="O32" s="1" t="s">
        <v>11</v>
      </c>
      <c r="P32" s="13">
        <v>1</v>
      </c>
      <c r="Q32" s="20"/>
      <c r="R32" s="2">
        <f>(E4-D4*E5)/SQRT((1-D4^2)*(1-E5^2))</f>
        <v>-0.99998978837050456</v>
      </c>
      <c r="X32" s="2" t="s">
        <v>11</v>
      </c>
      <c r="Y32" s="2">
        <v>1</v>
      </c>
      <c r="Z32" s="2">
        <f>(D4-H5*H4)/SQRT((1-H5^2)*(1-H4^2))</f>
        <v>-0.194902761035112</v>
      </c>
      <c r="AA32" s="2">
        <f>(E4-H6*H4)/SQRT((1-H6^2)*(1-H4^2))</f>
        <v>-0.99999000420738193</v>
      </c>
      <c r="AB32" s="2">
        <f>(F4-H7*H4)/SQRT((1-H7^2)*(1-H4^2))</f>
        <v>0.97091170994576703</v>
      </c>
      <c r="AC32" s="2">
        <f>(G4-H8*H4)/SQRT((1-H8^2)*(1-H4^2))</f>
        <v>0.99696568207260838</v>
      </c>
      <c r="AD32" s="31"/>
      <c r="AF32" s="33" t="s">
        <v>11</v>
      </c>
      <c r="AG32" s="33">
        <v>1</v>
      </c>
      <c r="AH32" s="8"/>
      <c r="AI32" s="33">
        <f>(E4-E5*D4)/SQRT((1-E5^2)*(1-D4^2))</f>
        <v>-0.99998978837050456</v>
      </c>
      <c r="AJ32" s="33">
        <f>(F4-D4*F5)/SQRT((1-D4^2)*(1-F5^2))</f>
        <v>0.92799980586255015</v>
      </c>
      <c r="AK32" s="33">
        <f>(G4-D4*G5)/SQRT((1-D4^2)*(1-G5^2))</f>
        <v>0.99566624797692993</v>
      </c>
      <c r="AL32" s="33">
        <f>(H4-D4*H5)/SQRT((1-D4^2)*(1-H5^2))</f>
        <v>0.13130467653461397</v>
      </c>
    </row>
    <row r="33" spans="2:43" x14ac:dyDescent="0.25">
      <c r="B33" s="45">
        <v>6</v>
      </c>
      <c r="C33" s="122">
        <v>3.1E-2</v>
      </c>
      <c r="D33" s="65">
        <v>10215</v>
      </c>
      <c r="E33" s="63">
        <v>10103</v>
      </c>
      <c r="F33" s="63">
        <v>44</v>
      </c>
      <c r="G33" s="65">
        <v>34</v>
      </c>
      <c r="H33" s="70">
        <v>77</v>
      </c>
      <c r="I33" s="34"/>
      <c r="J33" s="1" t="s">
        <v>1</v>
      </c>
      <c r="K33" s="7"/>
      <c r="L33" s="13">
        <v>1</v>
      </c>
      <c r="M33" s="20"/>
      <c r="O33" s="7" t="s">
        <v>1</v>
      </c>
      <c r="P33" s="7"/>
      <c r="Q33" s="19"/>
      <c r="R33" s="20" t="s">
        <v>0</v>
      </c>
      <c r="X33" s="2" t="s">
        <v>1</v>
      </c>
      <c r="Y33" s="8"/>
      <c r="Z33" s="2">
        <v>1</v>
      </c>
      <c r="AA33" s="2">
        <f>(E5-H6*H5)/SQRT((1-H6^2)*(1-H5^2))</f>
        <v>0.19490583084013194</v>
      </c>
      <c r="AB33" s="2">
        <f>(F5-H7*H5)/SQRT((1-H7^2)*(1-H5^2))</f>
        <v>-0.20152942367446225</v>
      </c>
      <c r="AC33" s="2">
        <f>(G5-H8*H5)/SQRT((1-H8^2)*(1-H5^2))</f>
        <v>-0.22500178259738307</v>
      </c>
      <c r="AD33" s="31"/>
      <c r="AF33" s="8" t="s">
        <v>1</v>
      </c>
      <c r="AG33" s="8"/>
      <c r="AH33" s="8"/>
      <c r="AI33" s="8"/>
      <c r="AJ33" s="8"/>
      <c r="AK33" s="8"/>
      <c r="AL33" s="8"/>
    </row>
    <row r="34" spans="2:43" x14ac:dyDescent="0.25">
      <c r="B34" s="45">
        <v>7</v>
      </c>
      <c r="C34" s="122">
        <v>3.9E-2</v>
      </c>
      <c r="D34" s="65">
        <v>10213</v>
      </c>
      <c r="E34" s="63">
        <v>10018</v>
      </c>
      <c r="F34" s="63">
        <v>43</v>
      </c>
      <c r="G34" s="65">
        <v>42</v>
      </c>
      <c r="H34" s="70">
        <v>96</v>
      </c>
      <c r="I34" s="34"/>
      <c r="J34" s="7" t="s">
        <v>2</v>
      </c>
      <c r="K34" s="7"/>
      <c r="L34" s="7"/>
      <c r="M34" s="19"/>
      <c r="O34" s="23" t="s">
        <v>2</v>
      </c>
      <c r="P34" s="7"/>
      <c r="Q34" s="7"/>
      <c r="R34" s="26">
        <v>1</v>
      </c>
      <c r="X34" s="27" t="s">
        <v>2</v>
      </c>
      <c r="Y34" s="8"/>
      <c r="Z34" s="8"/>
      <c r="AA34" s="9">
        <v>1</v>
      </c>
      <c r="AB34" s="2">
        <f>(F6-H7*H6)/SQRT((1-H7^2)*(1-H6^2))</f>
        <v>-0.97100000787573049</v>
      </c>
      <c r="AC34" s="2">
        <f>(G6-H8*H6)/SQRT((1-H8^2)*(1-H6^2))</f>
        <v>-0.99695125601033463</v>
      </c>
      <c r="AD34" s="31"/>
      <c r="AF34" s="27" t="s">
        <v>2</v>
      </c>
      <c r="AG34" s="8"/>
      <c r="AH34" s="8"/>
      <c r="AI34" s="9">
        <v>1</v>
      </c>
      <c r="AJ34" s="33">
        <f>(F6-E5*F5)/SQRT((1-E5^2)*(1-F5^2))</f>
        <v>-0.92808267869187944</v>
      </c>
      <c r="AK34" s="33">
        <f>(G6-E5*G5)/SQRT((1-E5^2)*(1-G5^2))</f>
        <v>-0.995652915286801</v>
      </c>
      <c r="AL34" s="33">
        <f>(H6-E5*H5)/SQRT((1-E5^2)*(1-H5^2))</f>
        <v>-0.13132920040362847</v>
      </c>
      <c r="AQ34" s="32"/>
    </row>
    <row r="35" spans="2:43" x14ac:dyDescent="0.25">
      <c r="B35" s="45">
        <v>8</v>
      </c>
      <c r="C35" s="122">
        <v>5.7000000000000002E-2</v>
      </c>
      <c r="D35" s="65">
        <v>10213</v>
      </c>
      <c r="E35" s="63">
        <v>9807</v>
      </c>
      <c r="F35" s="63">
        <v>43</v>
      </c>
      <c r="G35" s="65">
        <v>61</v>
      </c>
      <c r="H35" s="70">
        <v>142</v>
      </c>
      <c r="I35" s="34"/>
      <c r="J35" s="3"/>
      <c r="K35" s="3"/>
      <c r="L35" s="3"/>
      <c r="M35" s="3"/>
      <c r="X35" s="2" t="s">
        <v>3</v>
      </c>
      <c r="Y35" s="8"/>
      <c r="Z35" s="8"/>
      <c r="AA35" s="8"/>
      <c r="AB35" s="2">
        <v>1</v>
      </c>
      <c r="AC35" s="2">
        <f>(G7-H8*H7)/SQRT((1-H8^2)*(1-H7^2))</f>
        <v>0.9619841217564582</v>
      </c>
      <c r="AD35" s="31"/>
      <c r="AF35" s="33" t="s">
        <v>3</v>
      </c>
      <c r="AG35" s="8"/>
      <c r="AH35" s="8"/>
      <c r="AI35" s="8"/>
      <c r="AJ35" s="33">
        <v>1</v>
      </c>
      <c r="AK35" s="33">
        <f>(G7-G5*F5)/SQRT((1-G5^2)*(1-F5^2))</f>
        <v>0.90071950514489618</v>
      </c>
      <c r="AL35" s="33">
        <f>(H7-F5*H5)/SQRT((1-F5^2)*(1-H5^2))</f>
        <v>-0.15984641807148495</v>
      </c>
      <c r="AQ35" s="32"/>
    </row>
    <row r="36" spans="2:43" x14ac:dyDescent="0.25">
      <c r="B36" s="45">
        <v>9</v>
      </c>
      <c r="C36" s="122">
        <v>4.8000000000000001E-2</v>
      </c>
      <c r="D36" s="65">
        <v>10214</v>
      </c>
      <c r="E36" s="63">
        <v>9912</v>
      </c>
      <c r="F36" s="63">
        <v>44</v>
      </c>
      <c r="G36" s="65">
        <v>51</v>
      </c>
      <c r="H36" s="70">
        <v>118</v>
      </c>
      <c r="I36" s="34"/>
      <c r="J36" s="143" t="s">
        <v>6</v>
      </c>
      <c r="K36" s="143"/>
      <c r="L36" s="143"/>
      <c r="M36" s="143"/>
      <c r="N36" s="143"/>
      <c r="P36" s="143" t="s">
        <v>17</v>
      </c>
      <c r="Q36" s="143"/>
      <c r="R36" s="143"/>
      <c r="S36" s="143"/>
      <c r="T36" s="143"/>
      <c r="X36" s="9" t="s">
        <v>4</v>
      </c>
      <c r="Y36" s="8"/>
      <c r="Z36" s="8"/>
      <c r="AA36" s="8"/>
      <c r="AB36" s="8"/>
      <c r="AC36" s="2">
        <v>1</v>
      </c>
      <c r="AD36" s="31"/>
      <c r="AF36" s="9" t="s">
        <v>4</v>
      </c>
      <c r="AG36" s="8"/>
      <c r="AH36" s="8"/>
      <c r="AI36" s="8"/>
      <c r="AJ36" s="8"/>
      <c r="AK36" s="33">
        <v>1</v>
      </c>
      <c r="AL36" s="33">
        <f>(H8-G5*H5)/SQRT((1-G5^2)*(1-H5^2))</f>
        <v>0.1892938691232022</v>
      </c>
      <c r="AQ36" s="32"/>
    </row>
    <row r="37" spans="2:43" x14ac:dyDescent="0.25">
      <c r="B37" s="45">
        <v>10</v>
      </c>
      <c r="C37" s="122">
        <v>6.8000000000000005E-2</v>
      </c>
      <c r="D37" s="65">
        <v>10202</v>
      </c>
      <c r="E37" s="63">
        <v>9684</v>
      </c>
      <c r="F37" s="63">
        <v>44</v>
      </c>
      <c r="G37" s="65">
        <v>72</v>
      </c>
      <c r="H37" s="70">
        <v>166</v>
      </c>
      <c r="I37" s="34"/>
      <c r="J37" s="24" t="s">
        <v>8</v>
      </c>
      <c r="K37" s="37" t="s">
        <v>11</v>
      </c>
      <c r="L37" s="37" t="s">
        <v>1</v>
      </c>
      <c r="M37" s="5" t="s">
        <v>2</v>
      </c>
      <c r="N37" s="7" t="s">
        <v>3</v>
      </c>
      <c r="P37" s="37" t="s">
        <v>8</v>
      </c>
      <c r="Q37" s="37" t="s">
        <v>11</v>
      </c>
      <c r="R37" s="25" t="s">
        <v>1</v>
      </c>
      <c r="S37" s="5" t="s">
        <v>2</v>
      </c>
      <c r="T37" s="6" t="s">
        <v>3</v>
      </c>
      <c r="X37" s="8" t="s">
        <v>10</v>
      </c>
      <c r="Y37" s="8"/>
      <c r="Z37" s="8"/>
      <c r="AA37" s="8"/>
      <c r="AB37" s="8"/>
      <c r="AC37" s="8"/>
      <c r="AD37" s="31"/>
      <c r="AF37" s="9" t="s">
        <v>10</v>
      </c>
      <c r="AG37" s="8"/>
      <c r="AH37" s="8"/>
      <c r="AI37" s="8"/>
      <c r="AJ37" s="8"/>
      <c r="AK37" s="8"/>
      <c r="AL37" s="9">
        <v>1</v>
      </c>
      <c r="AQ37" s="32"/>
    </row>
    <row r="38" spans="2:43" x14ac:dyDescent="0.25">
      <c r="B38" s="45">
        <v>11</v>
      </c>
      <c r="C38" s="122">
        <v>5.6000000000000001E-2</v>
      </c>
      <c r="D38" s="65">
        <v>9724</v>
      </c>
      <c r="E38" s="63">
        <v>9818</v>
      </c>
      <c r="F38" s="63">
        <v>88</v>
      </c>
      <c r="G38" s="65">
        <v>57</v>
      </c>
      <c r="H38" s="70">
        <v>65</v>
      </c>
      <c r="I38" s="34"/>
      <c r="J38" s="1" t="s">
        <v>11</v>
      </c>
      <c r="K38" s="11">
        <v>1</v>
      </c>
      <c r="L38" s="9">
        <f>(D4-F4*F5)/SQRT((1-F4^2)*(1-F5^2))</f>
        <v>0.23579115936661932</v>
      </c>
      <c r="M38" s="9">
        <f>(E4-F4*F6)/SQRT((1-F4^2)*(1-F6^2))</f>
        <v>-0.99993064138599264</v>
      </c>
      <c r="N38" s="22"/>
      <c r="P38" s="6" t="s">
        <v>11</v>
      </c>
      <c r="Q38" s="11">
        <v>1</v>
      </c>
      <c r="R38" s="8"/>
      <c r="S38" s="9">
        <f>(E4-D4*E5)/SQRT((1-D4^2)*(1-E5^2))</f>
        <v>-0.99998978837050456</v>
      </c>
      <c r="T38" s="9">
        <f>(F4-D4*F5)/SQRT((1-D4^2)*(1-F5^2))</f>
        <v>0.92799980586255015</v>
      </c>
      <c r="X38" s="32"/>
      <c r="Y38" s="32"/>
      <c r="Z38" s="32"/>
      <c r="AA38" s="32"/>
      <c r="AB38" s="32"/>
      <c r="AC38" s="32"/>
      <c r="AD38" s="32"/>
      <c r="AQ38" s="32"/>
    </row>
    <row r="39" spans="2:43" x14ac:dyDescent="0.25">
      <c r="B39" s="45">
        <v>12</v>
      </c>
      <c r="C39" s="122">
        <v>7.0999999999999994E-2</v>
      </c>
      <c r="D39" s="65">
        <v>9586</v>
      </c>
      <c r="E39" s="63">
        <v>9642</v>
      </c>
      <c r="F39" s="63">
        <v>100</v>
      </c>
      <c r="G39" s="65">
        <v>72</v>
      </c>
      <c r="H39" s="70">
        <v>72</v>
      </c>
      <c r="I39" s="34"/>
      <c r="J39" s="1" t="s">
        <v>1</v>
      </c>
      <c r="K39" s="7"/>
      <c r="L39" s="11">
        <v>1</v>
      </c>
      <c r="M39" s="9">
        <f>(E5-F5*F6)/SQRT((1-F5^2)*(1-F6^2))</f>
        <v>-0.23598371170281027</v>
      </c>
      <c r="N39" s="22"/>
      <c r="P39" s="7" t="s">
        <v>1</v>
      </c>
      <c r="Q39" s="7"/>
      <c r="R39" s="19"/>
      <c r="S39" s="8"/>
      <c r="T39" s="8"/>
      <c r="X39" s="139" t="s">
        <v>13</v>
      </c>
      <c r="Y39" s="140"/>
      <c r="Z39" s="140"/>
      <c r="AA39" s="140"/>
      <c r="AB39" s="140"/>
      <c r="AC39" s="140"/>
      <c r="AD39" s="141"/>
      <c r="AF39" s="139" t="s">
        <v>20</v>
      </c>
      <c r="AG39" s="140"/>
      <c r="AH39" s="140"/>
      <c r="AI39" s="140"/>
      <c r="AJ39" s="140"/>
      <c r="AK39" s="140"/>
      <c r="AL39" s="141"/>
      <c r="AQ39" s="32"/>
    </row>
    <row r="40" spans="2:43" x14ac:dyDescent="0.25">
      <c r="B40" s="45">
        <v>13</v>
      </c>
      <c r="C40" s="122">
        <v>8.3000000000000004E-2</v>
      </c>
      <c r="D40" s="65">
        <v>9471</v>
      </c>
      <c r="E40" s="63">
        <v>9505</v>
      </c>
      <c r="F40" s="63">
        <v>110</v>
      </c>
      <c r="G40" s="65">
        <v>83</v>
      </c>
      <c r="H40" s="70">
        <v>75</v>
      </c>
      <c r="I40" s="34"/>
      <c r="J40" s="6" t="s">
        <v>2</v>
      </c>
      <c r="K40" s="7"/>
      <c r="L40" s="7"/>
      <c r="M40" s="38">
        <v>1</v>
      </c>
      <c r="N40" s="22"/>
      <c r="P40" s="6" t="s">
        <v>2</v>
      </c>
      <c r="Q40" s="7"/>
      <c r="R40" s="7"/>
      <c r="S40" s="38">
        <v>1</v>
      </c>
      <c r="T40" s="9">
        <f>(F6-E5*F5)/SQRT((1-E5^2)*(1-F5^2))</f>
        <v>-0.92808267869187944</v>
      </c>
      <c r="X40" s="27" t="s">
        <v>8</v>
      </c>
      <c r="Y40" s="27" t="s">
        <v>11</v>
      </c>
      <c r="Z40" s="27" t="s">
        <v>1</v>
      </c>
      <c r="AA40" s="27" t="s">
        <v>2</v>
      </c>
      <c r="AB40" s="27" t="s">
        <v>3</v>
      </c>
      <c r="AC40" s="8" t="s">
        <v>4</v>
      </c>
      <c r="AD40" s="8" t="s">
        <v>10</v>
      </c>
      <c r="AF40" s="27" t="s">
        <v>8</v>
      </c>
      <c r="AG40" s="27" t="s">
        <v>11</v>
      </c>
      <c r="AH40" s="8" t="s">
        <v>1</v>
      </c>
      <c r="AI40" s="27" t="s">
        <v>2</v>
      </c>
      <c r="AJ40" s="27" t="s">
        <v>3</v>
      </c>
      <c r="AK40" s="8" t="s">
        <v>4</v>
      </c>
      <c r="AL40" s="8" t="s">
        <v>10</v>
      </c>
      <c r="AQ40" s="32"/>
    </row>
    <row r="41" spans="2:43" x14ac:dyDescent="0.25">
      <c r="B41" s="45">
        <v>14</v>
      </c>
      <c r="C41" s="122">
        <v>0.08</v>
      </c>
      <c r="D41" s="65">
        <v>9418</v>
      </c>
      <c r="E41" s="63">
        <v>9550</v>
      </c>
      <c r="F41" s="63">
        <v>116</v>
      </c>
      <c r="G41" s="65">
        <v>78</v>
      </c>
      <c r="H41" s="70">
        <v>68</v>
      </c>
      <c r="I41" s="34"/>
      <c r="J41" s="7" t="s">
        <v>3</v>
      </c>
      <c r="K41" s="7"/>
      <c r="L41" s="7"/>
      <c r="M41" s="7"/>
      <c r="N41" s="7"/>
      <c r="P41" s="6" t="s">
        <v>3</v>
      </c>
      <c r="Q41" s="7"/>
      <c r="R41" s="7"/>
      <c r="S41" s="7"/>
      <c r="T41" s="6">
        <v>1</v>
      </c>
      <c r="X41" s="27" t="s">
        <v>11</v>
      </c>
      <c r="Y41" s="27">
        <v>1</v>
      </c>
      <c r="Z41" s="27">
        <f>(Z32-AC32*AC33)/SQRT((1-AC32^2)*(1-AC33^2))</f>
        <v>0.38784072693882909</v>
      </c>
      <c r="AA41" s="27">
        <f>(AA32-AC32*AC34)/SQRT((1-AC32^2)*(1-AC34^2))</f>
        <v>-0.99835709593349364</v>
      </c>
      <c r="AB41" s="27">
        <f>(AB32-AC32*AC35)/SQRT((1-AC32^2)*(1-AC35^2))</f>
        <v>0.55724468216815581</v>
      </c>
      <c r="AC41" s="8"/>
      <c r="AD41" s="31"/>
      <c r="AF41" s="27" t="s">
        <v>11</v>
      </c>
      <c r="AG41" s="27">
        <v>1</v>
      </c>
      <c r="AH41" s="8"/>
      <c r="AI41" s="27">
        <f>(AA41-AA42*Z41)/SQRT((1-AA42^2)*(1-Z41^2))</f>
        <v>-0.99806778914394978</v>
      </c>
      <c r="AJ41" s="27">
        <f>(AB41-Z41*AB42)/SQRT((1-Z41^2)*(1-AB42^2))</f>
        <v>0.58189113457068509</v>
      </c>
      <c r="AK41" s="8"/>
      <c r="AL41" s="31"/>
      <c r="AQ41" s="32"/>
    </row>
    <row r="42" spans="2:43" x14ac:dyDescent="0.25">
      <c r="B42" s="45">
        <v>15</v>
      </c>
      <c r="C42" s="122">
        <v>9.5000000000000001E-2</v>
      </c>
      <c r="D42" s="65">
        <v>9248</v>
      </c>
      <c r="E42" s="63">
        <v>9375</v>
      </c>
      <c r="F42" s="63">
        <v>132</v>
      </c>
      <c r="G42" s="65">
        <v>92</v>
      </c>
      <c r="H42" s="70">
        <v>69</v>
      </c>
      <c r="I42" s="34"/>
      <c r="J42" s="3"/>
      <c r="K42" s="3"/>
      <c r="L42" s="34"/>
      <c r="M42" s="35"/>
      <c r="X42" s="27" t="s">
        <v>1</v>
      </c>
      <c r="Y42" s="8"/>
      <c r="Z42" s="2">
        <v>1</v>
      </c>
      <c r="AA42" s="27">
        <f>(AA33-AC33*AC34)/SQRT((1-AC33^2)*(1-AC34^2))</f>
        <v>-0.38684037042616332</v>
      </c>
      <c r="AB42" s="27">
        <f>(AB33-AC33*AC35)/SQRT((1-AC33^2)*(1-AC35^2))</f>
        <v>5.6063802540942849E-2</v>
      </c>
      <c r="AC42" s="8"/>
      <c r="AD42" s="31"/>
      <c r="AF42" s="8" t="s">
        <v>1</v>
      </c>
      <c r="AG42" s="8"/>
      <c r="AH42" s="8"/>
      <c r="AI42" s="8"/>
      <c r="AJ42" s="8"/>
      <c r="AK42" s="8"/>
      <c r="AL42" s="31"/>
      <c r="AQ42" s="32"/>
    </row>
    <row r="43" spans="2:43" x14ac:dyDescent="0.25">
      <c r="B43" s="45">
        <v>16</v>
      </c>
      <c r="C43" s="122">
        <v>0.17699999999999999</v>
      </c>
      <c r="D43" s="65">
        <v>9175</v>
      </c>
      <c r="E43" s="63">
        <v>8423</v>
      </c>
      <c r="F43" s="63">
        <v>141</v>
      </c>
      <c r="G43" s="65">
        <v>170</v>
      </c>
      <c r="H43" s="70">
        <v>121</v>
      </c>
      <c r="I43" s="34"/>
      <c r="J43" s="143" t="s">
        <v>18</v>
      </c>
      <c r="K43" s="143"/>
      <c r="L43" s="143"/>
      <c r="M43" s="143"/>
      <c r="N43" s="143"/>
      <c r="P43" s="143" t="s">
        <v>18</v>
      </c>
      <c r="Q43" s="143"/>
      <c r="R43" s="143"/>
      <c r="S43" s="143"/>
      <c r="T43" s="143"/>
      <c r="X43" s="27" t="s">
        <v>2</v>
      </c>
      <c r="Y43" s="8"/>
      <c r="Z43" s="8"/>
      <c r="AA43" s="27">
        <v>1</v>
      </c>
      <c r="AB43" s="27">
        <f>(AB34-AC34*AC35)/SQRT((1-AC34^2)*(1-AC35^2))</f>
        <v>-0.56072156363914905</v>
      </c>
      <c r="AC43" s="8"/>
      <c r="AD43" s="31"/>
      <c r="AF43" s="27" t="s">
        <v>2</v>
      </c>
      <c r="AG43" s="8"/>
      <c r="AH43" s="8"/>
      <c r="AI43" s="27">
        <v>1</v>
      </c>
      <c r="AJ43" s="27">
        <f>(AB43-AB42*AA42)/SQRT((1-AB42^2)*(1-AA42^2))</f>
        <v>-0.58546320071132363</v>
      </c>
      <c r="AK43" s="8"/>
      <c r="AL43" s="31"/>
      <c r="AQ43" s="32"/>
    </row>
    <row r="44" spans="2:43" x14ac:dyDescent="0.25">
      <c r="B44" s="45">
        <v>17</v>
      </c>
      <c r="C44" s="122">
        <v>0.14199999999999999</v>
      </c>
      <c r="D44" s="65">
        <v>9091</v>
      </c>
      <c r="E44" s="63">
        <v>8829</v>
      </c>
      <c r="F44" s="63">
        <v>148</v>
      </c>
      <c r="G44" s="65">
        <v>135</v>
      </c>
      <c r="H44" s="70">
        <v>92</v>
      </c>
      <c r="I44" s="34"/>
      <c r="J44" s="24" t="s">
        <v>8</v>
      </c>
      <c r="K44" s="37" t="s">
        <v>11</v>
      </c>
      <c r="L44" s="37" t="s">
        <v>1</v>
      </c>
      <c r="M44" s="36" t="s">
        <v>2</v>
      </c>
      <c r="N44" s="7" t="s">
        <v>3</v>
      </c>
      <c r="P44" s="24" t="s">
        <v>8</v>
      </c>
      <c r="Q44" s="37" t="s">
        <v>11</v>
      </c>
      <c r="R44" s="25" t="s">
        <v>1</v>
      </c>
      <c r="S44" s="36" t="s">
        <v>2</v>
      </c>
      <c r="T44" s="23" t="s">
        <v>3</v>
      </c>
      <c r="X44" s="27" t="s">
        <v>3</v>
      </c>
      <c r="Y44" s="8"/>
      <c r="Z44" s="8"/>
      <c r="AA44" s="8"/>
      <c r="AB44" s="27">
        <v>1</v>
      </c>
      <c r="AC44" s="8"/>
      <c r="AD44" s="31"/>
      <c r="AF44" s="27" t="s">
        <v>3</v>
      </c>
      <c r="AG44" s="8"/>
      <c r="AH44" s="8"/>
      <c r="AI44" s="8"/>
      <c r="AJ44" s="9">
        <v>1</v>
      </c>
      <c r="AK44" s="8"/>
      <c r="AL44" s="31"/>
      <c r="AQ44" s="32"/>
    </row>
    <row r="45" spans="2:43" x14ac:dyDescent="0.25">
      <c r="B45" s="45">
        <v>18</v>
      </c>
      <c r="C45" s="122">
        <v>0.125</v>
      </c>
      <c r="D45" s="65">
        <v>8987</v>
      </c>
      <c r="E45" s="63">
        <v>9025</v>
      </c>
      <c r="F45" s="63">
        <v>157</v>
      </c>
      <c r="G45" s="65">
        <v>118</v>
      </c>
      <c r="H45" s="70">
        <v>75</v>
      </c>
      <c r="I45" s="34"/>
      <c r="J45" s="1" t="s">
        <v>11</v>
      </c>
      <c r="K45" s="11">
        <v>1</v>
      </c>
      <c r="L45" s="9">
        <f>(L38-M38*M39)/SQRT((1-M38^2)*(1-M39^2))</f>
        <v>-1.5394059699439298E-2</v>
      </c>
      <c r="M45" s="22"/>
      <c r="N45" s="22"/>
      <c r="P45" s="1" t="s">
        <v>11</v>
      </c>
      <c r="Q45" s="11">
        <v>1</v>
      </c>
      <c r="R45" s="8"/>
      <c r="S45" s="22"/>
      <c r="T45" s="9">
        <f>(T38-S38*T40)/SQRT((1-S38^2)*(1-T40^2))</f>
        <v>-4.3614308512584771E-2</v>
      </c>
      <c r="X45" s="8" t="s">
        <v>4</v>
      </c>
      <c r="Y45" s="8"/>
      <c r="Z45" s="8"/>
      <c r="AA45" s="8"/>
      <c r="AB45" s="8"/>
      <c r="AC45" s="8"/>
      <c r="AD45" s="31"/>
      <c r="AF45" s="8" t="s">
        <v>4</v>
      </c>
      <c r="AG45" s="8"/>
      <c r="AH45" s="8"/>
      <c r="AI45" s="8"/>
      <c r="AJ45" s="8"/>
      <c r="AK45" s="8"/>
      <c r="AL45" s="31"/>
      <c r="AQ45" s="32"/>
    </row>
    <row r="46" spans="2:43" x14ac:dyDescent="0.25">
      <c r="B46" s="45">
        <v>19</v>
      </c>
      <c r="C46" s="122">
        <v>0.17299999999999999</v>
      </c>
      <c r="D46" s="65">
        <v>8879</v>
      </c>
      <c r="E46" s="63">
        <v>8475</v>
      </c>
      <c r="F46" s="63">
        <v>166</v>
      </c>
      <c r="G46" s="65">
        <v>161</v>
      </c>
      <c r="H46" s="70">
        <v>97</v>
      </c>
      <c r="I46" s="34"/>
      <c r="J46" s="1" t="s">
        <v>1</v>
      </c>
      <c r="K46" s="7"/>
      <c r="L46" s="11">
        <v>1</v>
      </c>
      <c r="M46" s="22"/>
      <c r="N46" s="22"/>
      <c r="P46" s="7" t="s">
        <v>1</v>
      </c>
      <c r="Q46" s="7"/>
      <c r="R46" s="19"/>
      <c r="S46" s="22"/>
      <c r="T46" s="22"/>
      <c r="X46" s="8" t="s">
        <v>10</v>
      </c>
      <c r="Y46" s="8"/>
      <c r="Z46" s="8"/>
      <c r="AA46" s="8"/>
      <c r="AB46" s="8"/>
      <c r="AC46" s="8"/>
      <c r="AD46" s="31"/>
      <c r="AF46" s="8" t="s">
        <v>10</v>
      </c>
      <c r="AG46" s="8"/>
      <c r="AH46" s="8"/>
      <c r="AI46" s="8"/>
      <c r="AJ46" s="8"/>
      <c r="AK46" s="8"/>
      <c r="AL46" s="31"/>
      <c r="AQ46" s="32"/>
    </row>
    <row r="47" spans="2:43" x14ac:dyDescent="0.25">
      <c r="B47" s="45">
        <v>20</v>
      </c>
      <c r="C47" s="122">
        <v>0.105</v>
      </c>
      <c r="D47" s="65">
        <v>8862</v>
      </c>
      <c r="E47" s="63">
        <v>9259</v>
      </c>
      <c r="F47" s="63">
        <v>168</v>
      </c>
      <c r="G47" s="65">
        <v>97</v>
      </c>
      <c r="H47" s="70">
        <v>58</v>
      </c>
      <c r="I47" s="34"/>
      <c r="J47" s="7" t="s">
        <v>2</v>
      </c>
      <c r="K47" s="7"/>
      <c r="L47" s="7"/>
      <c r="M47" s="22"/>
      <c r="N47" s="22"/>
      <c r="P47" s="7" t="s">
        <v>2</v>
      </c>
      <c r="Q47" s="7"/>
      <c r="R47" s="7"/>
      <c r="S47" s="22"/>
      <c r="T47" s="22"/>
      <c r="X47" s="32"/>
      <c r="Y47" s="32"/>
      <c r="Z47" s="32"/>
      <c r="AA47" s="32"/>
      <c r="AB47" s="32"/>
      <c r="AC47" s="32"/>
      <c r="AD47" s="32"/>
      <c r="AQ47" s="32"/>
    </row>
    <row r="48" spans="2:43" x14ac:dyDescent="0.25">
      <c r="B48" s="45">
        <v>21</v>
      </c>
      <c r="C48" s="122">
        <v>0.13800000000000001</v>
      </c>
      <c r="D48" s="65">
        <v>8696</v>
      </c>
      <c r="E48" s="63">
        <v>8881</v>
      </c>
      <c r="F48" s="63">
        <v>182</v>
      </c>
      <c r="G48" s="65">
        <v>125</v>
      </c>
      <c r="H48" s="70">
        <v>69</v>
      </c>
      <c r="I48" s="34"/>
      <c r="J48" s="7" t="s">
        <v>3</v>
      </c>
      <c r="K48" s="7"/>
      <c r="L48" s="7"/>
      <c r="M48" s="7"/>
      <c r="N48" s="7"/>
      <c r="P48" s="23" t="s">
        <v>3</v>
      </c>
      <c r="Q48" s="7"/>
      <c r="R48" s="7"/>
      <c r="S48" s="7"/>
      <c r="T48" s="23">
        <v>1</v>
      </c>
      <c r="X48" s="139" t="s">
        <v>14</v>
      </c>
      <c r="Y48" s="140"/>
      <c r="Z48" s="140"/>
      <c r="AA48" s="140"/>
      <c r="AB48" s="140"/>
      <c r="AC48" s="140"/>
      <c r="AD48" s="141"/>
      <c r="AF48" s="139" t="s">
        <v>21</v>
      </c>
      <c r="AG48" s="140"/>
      <c r="AH48" s="140"/>
      <c r="AI48" s="140"/>
      <c r="AJ48" s="140"/>
      <c r="AK48" s="140"/>
      <c r="AL48" s="141"/>
      <c r="AQ48" s="32"/>
    </row>
    <row r="49" spans="2:43" x14ac:dyDescent="0.25">
      <c r="B49" s="45">
        <v>22</v>
      </c>
      <c r="C49" s="122">
        <v>0.13600000000000001</v>
      </c>
      <c r="D49" s="65">
        <v>8619</v>
      </c>
      <c r="E49" s="63">
        <v>8896</v>
      </c>
      <c r="F49" s="63">
        <v>192</v>
      </c>
      <c r="G49" s="65">
        <v>123</v>
      </c>
      <c r="H49" s="70">
        <v>64</v>
      </c>
      <c r="I49" s="34"/>
      <c r="J49" s="3"/>
      <c r="K49" s="3"/>
      <c r="L49" s="3"/>
      <c r="M49" s="3"/>
      <c r="X49" s="27" t="s">
        <v>8</v>
      </c>
      <c r="Y49" s="27" t="s">
        <v>11</v>
      </c>
      <c r="Z49" s="27" t="s">
        <v>1</v>
      </c>
      <c r="AA49" s="27" t="s">
        <v>2</v>
      </c>
      <c r="AB49" s="8" t="s">
        <v>3</v>
      </c>
      <c r="AC49" s="8" t="s">
        <v>4</v>
      </c>
      <c r="AD49" s="8" t="s">
        <v>10</v>
      </c>
      <c r="AF49" s="27" t="s">
        <v>8</v>
      </c>
      <c r="AG49" s="27" t="s">
        <v>11</v>
      </c>
      <c r="AH49" s="8" t="s">
        <v>1</v>
      </c>
      <c r="AI49" s="8" t="s">
        <v>2</v>
      </c>
      <c r="AJ49" s="27" t="s">
        <v>3</v>
      </c>
      <c r="AK49" s="8" t="s">
        <v>4</v>
      </c>
      <c r="AL49" s="8" t="s">
        <v>10</v>
      </c>
      <c r="AQ49" s="32"/>
    </row>
    <row r="50" spans="2:43" x14ac:dyDescent="0.25">
      <c r="B50" s="45">
        <v>23</v>
      </c>
      <c r="C50" s="122">
        <v>0.23899999999999999</v>
      </c>
      <c r="D50" s="65">
        <v>8547</v>
      </c>
      <c r="E50" s="63">
        <v>7715</v>
      </c>
      <c r="F50" s="63">
        <v>198</v>
      </c>
      <c r="G50" s="65">
        <v>214</v>
      </c>
      <c r="H50" s="70">
        <v>108</v>
      </c>
      <c r="I50" s="34"/>
      <c r="J50" s="143" t="s">
        <v>19</v>
      </c>
      <c r="K50" s="143"/>
      <c r="L50" s="143"/>
      <c r="M50" s="143"/>
      <c r="N50" s="143"/>
      <c r="X50" s="27" t="s">
        <v>11</v>
      </c>
      <c r="Y50" s="27">
        <v>1</v>
      </c>
      <c r="Z50" s="27">
        <f>(Z41-AB41*AB42)/SQRT((1-AB41^2)*(1-AB42^2))</f>
        <v>0.43013419995098146</v>
      </c>
      <c r="AA50" s="27">
        <f>(AA41-AB41*AB43)/SQRT((1-AB41^2)*(1-AB43^2))</f>
        <v>-0.99762321970148304</v>
      </c>
      <c r="AB50" s="8"/>
      <c r="AC50" s="8"/>
      <c r="AD50" s="31"/>
      <c r="AF50" s="27" t="s">
        <v>11</v>
      </c>
      <c r="AG50" s="27">
        <v>1</v>
      </c>
      <c r="AH50" s="8"/>
      <c r="AI50" s="8"/>
      <c r="AJ50" s="27">
        <f>(AJ41-AJ43*AI41)/SQRT((1-AJ43^2)*(1-AI41^2))</f>
        <v>-4.8455730224172752E-2</v>
      </c>
      <c r="AK50" s="8"/>
      <c r="AL50" s="31"/>
      <c r="AQ50" s="32"/>
    </row>
    <row r="51" spans="2:43" x14ac:dyDescent="0.25">
      <c r="B51" s="45">
        <v>24</v>
      </c>
      <c r="C51" s="122">
        <v>0.13500000000000001</v>
      </c>
      <c r="D51" s="65">
        <v>8458</v>
      </c>
      <c r="E51" s="63">
        <v>8905</v>
      </c>
      <c r="F51" s="63">
        <v>208</v>
      </c>
      <c r="G51" s="65">
        <v>120</v>
      </c>
      <c r="H51" s="70">
        <v>58</v>
      </c>
      <c r="I51" s="34"/>
      <c r="J51" s="24" t="s">
        <v>8</v>
      </c>
      <c r="K51" s="37" t="s">
        <v>11</v>
      </c>
      <c r="L51" s="25" t="s">
        <v>1</v>
      </c>
      <c r="M51" s="5" t="s">
        <v>2</v>
      </c>
      <c r="N51" s="7" t="s">
        <v>3</v>
      </c>
      <c r="X51" s="27" t="s">
        <v>1</v>
      </c>
      <c r="Y51" s="8"/>
      <c r="Z51" s="2">
        <v>1</v>
      </c>
      <c r="AA51" s="27">
        <f>(AA42-AB42*AB43)/SQRT((1-AB42^2)*(1-AB43^2))</f>
        <v>-0.42990597763345145</v>
      </c>
      <c r="AB51" s="8"/>
      <c r="AC51" s="8"/>
      <c r="AD51" s="31"/>
      <c r="AF51" s="8"/>
      <c r="AG51" s="8"/>
      <c r="AH51" s="8"/>
      <c r="AI51" s="8"/>
      <c r="AJ51" s="8"/>
      <c r="AK51" s="8"/>
      <c r="AL51" s="31"/>
      <c r="AQ51" s="32"/>
    </row>
    <row r="52" spans="2:43" x14ac:dyDescent="0.25">
      <c r="B52" s="45">
        <v>25</v>
      </c>
      <c r="C52" s="122">
        <v>0.13100000000000001</v>
      </c>
      <c r="D52" s="65">
        <v>8405</v>
      </c>
      <c r="E52" s="63">
        <v>8954</v>
      </c>
      <c r="F52" s="63">
        <v>211</v>
      </c>
      <c r="G52" s="65">
        <v>116</v>
      </c>
      <c r="H52" s="70">
        <v>55</v>
      </c>
      <c r="I52" s="34"/>
      <c r="J52" s="1" t="s">
        <v>11</v>
      </c>
      <c r="K52" s="11">
        <v>1</v>
      </c>
      <c r="L52" s="8"/>
      <c r="M52" s="9">
        <f>(M38-L38*M39)/SQRT((1-L38^2)*(1-M39^2))</f>
        <v>-0.99992657546285646</v>
      </c>
      <c r="N52" s="22"/>
      <c r="X52" s="27" t="s">
        <v>2</v>
      </c>
      <c r="Y52" s="8"/>
      <c r="Z52" s="8"/>
      <c r="AA52" s="27">
        <v>1</v>
      </c>
      <c r="AB52" s="8"/>
      <c r="AC52" s="8"/>
      <c r="AD52" s="31"/>
      <c r="AF52" s="8" t="s">
        <v>2</v>
      </c>
      <c r="AG52" s="8"/>
      <c r="AH52" s="8"/>
      <c r="AI52" s="8"/>
      <c r="AJ52" s="8"/>
      <c r="AK52" s="8"/>
      <c r="AL52" s="31"/>
      <c r="AQ52" s="32"/>
    </row>
    <row r="53" spans="2:43" x14ac:dyDescent="0.25">
      <c r="B53" s="45">
        <v>26</v>
      </c>
      <c r="C53" s="122">
        <v>0.191</v>
      </c>
      <c r="D53" s="65">
        <v>8372</v>
      </c>
      <c r="E53" s="63">
        <v>8261</v>
      </c>
      <c r="F53" s="63">
        <v>215</v>
      </c>
      <c r="G53" s="65">
        <v>168</v>
      </c>
      <c r="H53" s="70">
        <v>78</v>
      </c>
      <c r="I53" s="34"/>
      <c r="J53" s="7" t="s">
        <v>1</v>
      </c>
      <c r="K53" s="7"/>
      <c r="L53" s="19"/>
      <c r="M53" s="8"/>
      <c r="N53" s="22"/>
      <c r="X53" s="8" t="s">
        <v>3</v>
      </c>
      <c r="Y53" s="8"/>
      <c r="Z53" s="8"/>
      <c r="AA53" s="8"/>
      <c r="AB53" s="8"/>
      <c r="AC53" s="8"/>
      <c r="AD53" s="31"/>
      <c r="AF53" s="27" t="s">
        <v>3</v>
      </c>
      <c r="AG53" s="8"/>
      <c r="AH53" s="8"/>
      <c r="AI53" s="8"/>
      <c r="AJ53" s="27">
        <v>1</v>
      </c>
      <c r="AK53" s="8"/>
      <c r="AL53" s="31"/>
      <c r="AQ53" s="32"/>
    </row>
    <row r="54" spans="2:43" x14ac:dyDescent="0.25">
      <c r="B54" s="45">
        <v>27</v>
      </c>
      <c r="C54" s="122">
        <v>0.14299999999999999</v>
      </c>
      <c r="D54" s="65">
        <v>8340</v>
      </c>
      <c r="E54" s="63">
        <v>8824</v>
      </c>
      <c r="F54" s="63">
        <v>218</v>
      </c>
      <c r="G54" s="65">
        <v>125</v>
      </c>
      <c r="H54" s="70">
        <v>57</v>
      </c>
      <c r="I54" s="34"/>
      <c r="J54" s="6" t="s">
        <v>2</v>
      </c>
      <c r="K54" s="7"/>
      <c r="L54" s="7"/>
      <c r="M54" s="38">
        <v>1</v>
      </c>
      <c r="N54" s="22"/>
      <c r="X54" s="8" t="s">
        <v>4</v>
      </c>
      <c r="Y54" s="8"/>
      <c r="Z54" s="8"/>
      <c r="AA54" s="8"/>
      <c r="AB54" s="8"/>
      <c r="AC54" s="8"/>
      <c r="AD54" s="31"/>
      <c r="AF54" s="8" t="s">
        <v>4</v>
      </c>
      <c r="AG54" s="8"/>
      <c r="AH54" s="8"/>
      <c r="AI54" s="8"/>
      <c r="AJ54" s="8"/>
      <c r="AK54" s="8"/>
      <c r="AL54" s="31"/>
      <c r="AQ54" s="32"/>
    </row>
    <row r="55" spans="2:43" x14ac:dyDescent="0.25">
      <c r="B55" s="45">
        <v>28</v>
      </c>
      <c r="C55" s="122">
        <v>0.20799999999999999</v>
      </c>
      <c r="D55" s="65">
        <v>8282</v>
      </c>
      <c r="E55" s="63">
        <v>8076</v>
      </c>
      <c r="F55" s="63">
        <v>223</v>
      </c>
      <c r="G55" s="65">
        <v>180</v>
      </c>
      <c r="H55" s="70">
        <v>81</v>
      </c>
      <c r="I55" s="34"/>
      <c r="J55" s="7" t="s">
        <v>3</v>
      </c>
      <c r="K55" s="7"/>
      <c r="L55" s="7"/>
      <c r="M55" s="7"/>
      <c r="N55" s="7"/>
      <c r="X55" s="8" t="s">
        <v>10</v>
      </c>
      <c r="Y55" s="8"/>
      <c r="Z55" s="8"/>
      <c r="AA55" s="8"/>
      <c r="AB55" s="8"/>
      <c r="AC55" s="8"/>
      <c r="AD55" s="31"/>
      <c r="AF55" s="8" t="s">
        <v>10</v>
      </c>
      <c r="AG55" s="8"/>
      <c r="AH55" s="8"/>
      <c r="AI55" s="8"/>
      <c r="AJ55" s="8"/>
      <c r="AK55" s="8"/>
      <c r="AL55" s="31"/>
      <c r="AQ55" s="32"/>
    </row>
    <row r="56" spans="2:43" x14ac:dyDescent="0.25">
      <c r="B56" s="45">
        <v>29</v>
      </c>
      <c r="C56" s="122">
        <v>0.191</v>
      </c>
      <c r="D56" s="65">
        <v>8182</v>
      </c>
      <c r="E56" s="63">
        <v>8264</v>
      </c>
      <c r="F56" s="63">
        <v>231</v>
      </c>
      <c r="G56" s="65">
        <v>164</v>
      </c>
      <c r="H56" s="70">
        <v>71</v>
      </c>
      <c r="I56" s="34"/>
      <c r="J56" s="10"/>
      <c r="K56" s="10"/>
      <c r="L56" s="10"/>
      <c r="M56" s="10"/>
      <c r="X56" s="32"/>
      <c r="Y56" s="32"/>
      <c r="Z56" s="32"/>
      <c r="AA56" s="32"/>
      <c r="AB56" s="32"/>
      <c r="AC56" s="32"/>
      <c r="AD56" s="32"/>
      <c r="AQ56" s="32"/>
    </row>
    <row r="57" spans="2:43" x14ac:dyDescent="0.25">
      <c r="B57" s="45">
        <v>30</v>
      </c>
      <c r="C57" s="122">
        <v>0.191</v>
      </c>
      <c r="D57" s="65">
        <v>8127</v>
      </c>
      <c r="E57" s="63">
        <v>8268</v>
      </c>
      <c r="F57" s="63">
        <v>236</v>
      </c>
      <c r="G57" s="65">
        <v>162</v>
      </c>
      <c r="H57" s="70">
        <v>69</v>
      </c>
      <c r="I57" s="34"/>
      <c r="J57" s="130" t="s">
        <v>27</v>
      </c>
      <c r="K57" s="131"/>
      <c r="L57" s="131"/>
      <c r="M57" s="131"/>
      <c r="N57" s="131"/>
      <c r="O57" s="132"/>
      <c r="Q57" s="130" t="s">
        <v>27</v>
      </c>
      <c r="R57" s="131"/>
      <c r="S57" s="131"/>
      <c r="T57" s="131"/>
      <c r="U57" s="131"/>
      <c r="V57" s="132"/>
      <c r="X57" s="142" t="s">
        <v>15</v>
      </c>
      <c r="Y57" s="142"/>
      <c r="Z57" s="142"/>
      <c r="AA57" s="142"/>
      <c r="AB57" s="142"/>
      <c r="AC57" s="142"/>
      <c r="AD57" s="142"/>
      <c r="AF57" s="139" t="s">
        <v>22</v>
      </c>
      <c r="AG57" s="140"/>
      <c r="AH57" s="140"/>
      <c r="AI57" s="140"/>
      <c r="AJ57" s="140"/>
      <c r="AK57" s="140"/>
      <c r="AL57" s="141"/>
      <c r="AQ57" s="32"/>
    </row>
    <row r="58" spans="2:43" x14ac:dyDescent="0.25">
      <c r="B58" s="45">
        <v>31</v>
      </c>
      <c r="C58" s="122">
        <v>0.20499999999999999</v>
      </c>
      <c r="D58" s="65">
        <v>8086</v>
      </c>
      <c r="E58" s="63">
        <v>8101</v>
      </c>
      <c r="F58" s="63">
        <v>240</v>
      </c>
      <c r="G58" s="65">
        <v>174</v>
      </c>
      <c r="H58" s="70">
        <v>73</v>
      </c>
      <c r="I58" s="34"/>
      <c r="J58" s="37" t="s">
        <v>8</v>
      </c>
      <c r="K58" s="37" t="s">
        <v>11</v>
      </c>
      <c r="L58" s="37" t="s">
        <v>1</v>
      </c>
      <c r="M58" s="5" t="s">
        <v>2</v>
      </c>
      <c r="N58" s="6" t="s">
        <v>3</v>
      </c>
      <c r="O58" s="7" t="s">
        <v>4</v>
      </c>
      <c r="Q58" s="37" t="s">
        <v>8</v>
      </c>
      <c r="R58" s="37" t="s">
        <v>11</v>
      </c>
      <c r="S58" s="25" t="s">
        <v>1</v>
      </c>
      <c r="T58" s="5" t="s">
        <v>2</v>
      </c>
      <c r="U58" s="6" t="s">
        <v>3</v>
      </c>
      <c r="V58" s="7" t="s">
        <v>4</v>
      </c>
      <c r="X58" s="27" t="s">
        <v>8</v>
      </c>
      <c r="Y58" s="27" t="s">
        <v>11</v>
      </c>
      <c r="Z58" s="27" t="s">
        <v>1</v>
      </c>
      <c r="AA58" s="8" t="s">
        <v>2</v>
      </c>
      <c r="AB58" s="8" t="s">
        <v>3</v>
      </c>
      <c r="AC58" s="8" t="s">
        <v>4</v>
      </c>
      <c r="AD58" s="8" t="s">
        <v>10</v>
      </c>
      <c r="AF58" s="27" t="s">
        <v>8</v>
      </c>
      <c r="AG58" s="27" t="s">
        <v>11</v>
      </c>
      <c r="AH58" s="8" t="s">
        <v>1</v>
      </c>
      <c r="AI58" s="27" t="s">
        <v>2</v>
      </c>
      <c r="AJ58" s="8" t="s">
        <v>3</v>
      </c>
      <c r="AK58" s="8" t="s">
        <v>4</v>
      </c>
      <c r="AL58" s="8" t="s">
        <v>10</v>
      </c>
      <c r="AQ58" s="32"/>
    </row>
    <row r="59" spans="2:43" x14ac:dyDescent="0.25">
      <c r="B59" s="45">
        <v>32</v>
      </c>
      <c r="C59" s="122">
        <v>0.184</v>
      </c>
      <c r="D59" s="65">
        <v>8032</v>
      </c>
      <c r="E59" s="63">
        <v>8341</v>
      </c>
      <c r="F59" s="63">
        <v>245</v>
      </c>
      <c r="G59" s="65">
        <v>155</v>
      </c>
      <c r="H59" s="70">
        <v>63</v>
      </c>
      <c r="I59" s="34"/>
      <c r="J59" s="6" t="s">
        <v>11</v>
      </c>
      <c r="K59" s="9">
        <v>1</v>
      </c>
      <c r="L59" s="33">
        <f>(D4-G4*G5)/SQRT((1-G5^2)*(1-G4^2))</f>
        <v>0.10156513766654407</v>
      </c>
      <c r="M59" s="33">
        <f>(E4-G4*G6)/SQRT((1-G6^2)*(1-G4^2))</f>
        <v>-0.99883441199845535</v>
      </c>
      <c r="N59" s="33">
        <f>(F4-G4*G7)/SQRT((1-G7^2)*(1-G4^2))</f>
        <v>0.7140925027864552</v>
      </c>
      <c r="O59" s="8"/>
      <c r="Q59" s="6" t="s">
        <v>11</v>
      </c>
      <c r="R59" s="9">
        <v>1</v>
      </c>
      <c r="S59" s="8"/>
      <c r="T59" s="33">
        <f>(M59-L59*M60)/SQRT((1-M60^2)*(1-L59^2))</f>
        <v>-0.99882228313188537</v>
      </c>
      <c r="U59" s="33">
        <f>(N59-L59*N60)/SQRT((1-N60^2)*(1-L59^2))</f>
        <v>0.77190172107844868</v>
      </c>
      <c r="V59" s="8"/>
      <c r="X59" s="27" t="s">
        <v>11</v>
      </c>
      <c r="Y59" s="27">
        <v>1</v>
      </c>
      <c r="Z59" s="40">
        <f>(Z50-AA50*AA51)/SQRT((1-AA50^2)*(1-AA51^2))</f>
        <v>2.009262666500335E-2</v>
      </c>
      <c r="AA59" s="8"/>
      <c r="AB59" s="8"/>
      <c r="AC59" s="8"/>
      <c r="AD59" s="31"/>
      <c r="AF59" s="27" t="s">
        <v>11</v>
      </c>
      <c r="AG59" s="27">
        <v>1</v>
      </c>
      <c r="AH59" s="8"/>
      <c r="AI59" s="9">
        <f>(AI41-AJ41*AJ43)/SQRT((1-AJ43^2)*(1-AJ41^2))</f>
        <v>-0.99708404026369846</v>
      </c>
      <c r="AJ59" s="8"/>
      <c r="AK59" s="8"/>
      <c r="AL59" s="31"/>
      <c r="AQ59" s="32"/>
    </row>
    <row r="60" spans="2:43" x14ac:dyDescent="0.25">
      <c r="B60" s="45">
        <v>33</v>
      </c>
      <c r="C60" s="122">
        <v>0.189</v>
      </c>
      <c r="D60" s="65">
        <v>7999</v>
      </c>
      <c r="E60" s="63">
        <v>8284</v>
      </c>
      <c r="F60" s="63">
        <v>249</v>
      </c>
      <c r="G60" s="65">
        <v>159</v>
      </c>
      <c r="H60" s="70">
        <v>64</v>
      </c>
      <c r="I60" s="34"/>
      <c r="J60" s="6" t="s">
        <v>1</v>
      </c>
      <c r="K60" s="8"/>
      <c r="L60" s="9">
        <v>1</v>
      </c>
      <c r="M60" s="33">
        <f>(E5-G5*G6)/SQRT((1-G6^2)*(1-G5^2))</f>
        <v>-0.10145263014058624</v>
      </c>
      <c r="N60" s="33">
        <f>(F5-G5*G7)/SQRT((1-G7^2)*(1-G5^2))</f>
        <v>-0.26323268273192235</v>
      </c>
      <c r="O60" s="8"/>
      <c r="Q60" s="7" t="s">
        <v>1</v>
      </c>
      <c r="R60" s="8"/>
      <c r="S60" s="8"/>
      <c r="T60" s="8"/>
      <c r="U60" s="8"/>
      <c r="V60" s="8"/>
      <c r="X60" s="27" t="s">
        <v>1</v>
      </c>
      <c r="Y60" s="8"/>
      <c r="Z60" s="2">
        <v>1</v>
      </c>
      <c r="AA60" s="8"/>
      <c r="AB60" s="8"/>
      <c r="AC60" s="8"/>
      <c r="AD60" s="31"/>
      <c r="AF60" s="8" t="s">
        <v>1</v>
      </c>
      <c r="AG60" s="8"/>
      <c r="AH60" s="8"/>
      <c r="AI60" s="8"/>
      <c r="AJ60" s="8"/>
      <c r="AK60" s="8"/>
      <c r="AL60" s="31"/>
      <c r="AQ60" s="32"/>
    </row>
    <row r="61" spans="2:43" x14ac:dyDescent="0.25">
      <c r="B61" s="45">
        <v>34</v>
      </c>
      <c r="C61" s="122">
        <v>0.20300000000000001</v>
      </c>
      <c r="D61" s="65">
        <v>7956</v>
      </c>
      <c r="E61" s="63">
        <v>8128</v>
      </c>
      <c r="F61" s="63">
        <v>254</v>
      </c>
      <c r="G61" s="65">
        <v>169</v>
      </c>
      <c r="H61" s="70">
        <v>67</v>
      </c>
      <c r="I61" s="34"/>
      <c r="J61" s="6" t="s">
        <v>2</v>
      </c>
      <c r="K61" s="8"/>
      <c r="L61" s="8"/>
      <c r="M61" s="9">
        <v>1</v>
      </c>
      <c r="N61" s="33">
        <f>(F6-G6*G7)/SQRT((1-G7^2)*(1-G6^2))</f>
        <v>-0.71524684258816862</v>
      </c>
      <c r="O61" s="8"/>
      <c r="Q61" s="6" t="s">
        <v>2</v>
      </c>
      <c r="R61" s="8"/>
      <c r="S61" s="8"/>
      <c r="T61" s="9">
        <v>1</v>
      </c>
      <c r="U61" s="33">
        <f>(N61-M60*N60)/SQRT((1-N60^2)*(1-M60^2))</f>
        <v>-0.7730647009094449</v>
      </c>
      <c r="V61" s="8"/>
      <c r="X61" s="8" t="s">
        <v>2</v>
      </c>
      <c r="Y61" s="8"/>
      <c r="Z61" s="8"/>
      <c r="AA61" s="8"/>
      <c r="AB61" s="8"/>
      <c r="AC61" s="8"/>
      <c r="AD61" s="31"/>
      <c r="AF61" s="27" t="s">
        <v>2</v>
      </c>
      <c r="AG61" s="8"/>
      <c r="AH61" s="8"/>
      <c r="AI61" s="27">
        <v>1</v>
      </c>
      <c r="AJ61" s="8"/>
      <c r="AK61" s="8"/>
      <c r="AL61" s="31"/>
      <c r="AQ61" s="32"/>
    </row>
    <row r="62" spans="2:43" x14ac:dyDescent="0.25">
      <c r="B62" s="45">
        <v>35</v>
      </c>
      <c r="C62" s="122">
        <v>0.2</v>
      </c>
      <c r="D62" s="65">
        <v>7909</v>
      </c>
      <c r="E62" s="63">
        <v>8163</v>
      </c>
      <c r="F62" s="63">
        <v>258</v>
      </c>
      <c r="G62" s="65">
        <v>169</v>
      </c>
      <c r="H62" s="70">
        <v>66</v>
      </c>
      <c r="I62" s="34"/>
      <c r="J62" s="6" t="s">
        <v>3</v>
      </c>
      <c r="K62" s="8"/>
      <c r="L62" s="8"/>
      <c r="M62" s="8"/>
      <c r="N62" s="9">
        <v>1</v>
      </c>
      <c r="O62" s="8"/>
      <c r="Q62" s="6" t="s">
        <v>3</v>
      </c>
      <c r="R62" s="8"/>
      <c r="S62" s="8"/>
      <c r="T62" s="8"/>
      <c r="U62" s="9">
        <v>1</v>
      </c>
      <c r="V62" s="8"/>
      <c r="X62" s="8" t="s">
        <v>3</v>
      </c>
      <c r="Y62" s="8"/>
      <c r="Z62" s="8"/>
      <c r="AA62" s="8"/>
      <c r="AB62" s="8"/>
      <c r="AC62" s="8"/>
      <c r="AD62" s="31"/>
      <c r="AF62" s="8" t="s">
        <v>3</v>
      </c>
      <c r="AG62" s="8"/>
      <c r="AH62" s="8"/>
      <c r="AI62" s="8"/>
      <c r="AJ62" s="8"/>
      <c r="AK62" s="8"/>
      <c r="AL62" s="31"/>
      <c r="AQ62" s="32"/>
    </row>
    <row r="63" spans="2:43" x14ac:dyDescent="0.25">
      <c r="B63" s="45">
        <v>36</v>
      </c>
      <c r="C63" s="28"/>
      <c r="D63" s="65"/>
      <c r="E63" s="63"/>
      <c r="F63" s="63"/>
      <c r="G63" s="65"/>
      <c r="H63" s="70"/>
      <c r="I63" s="34"/>
      <c r="J63" s="7" t="s">
        <v>4</v>
      </c>
      <c r="K63" s="8"/>
      <c r="L63" s="8"/>
      <c r="M63" s="8"/>
      <c r="N63" s="8"/>
      <c r="O63" s="8"/>
      <c r="Q63" s="7" t="s">
        <v>4</v>
      </c>
      <c r="R63" s="8"/>
      <c r="S63" s="8"/>
      <c r="T63" s="8"/>
      <c r="U63" s="8"/>
      <c r="V63" s="8"/>
      <c r="X63" s="8" t="s">
        <v>4</v>
      </c>
      <c r="Y63" s="8"/>
      <c r="Z63" s="8"/>
      <c r="AA63" s="8"/>
      <c r="AB63" s="8"/>
      <c r="AC63" s="8"/>
      <c r="AD63" s="31"/>
      <c r="AF63" s="8" t="s">
        <v>4</v>
      </c>
      <c r="AG63" s="8"/>
      <c r="AH63" s="8"/>
      <c r="AI63" s="8"/>
      <c r="AJ63" s="8"/>
      <c r="AK63" s="8"/>
      <c r="AL63" s="31"/>
      <c r="AQ63" s="32"/>
    </row>
    <row r="64" spans="2:43" x14ac:dyDescent="0.25">
      <c r="B64" s="45">
        <v>37</v>
      </c>
      <c r="C64" s="28"/>
      <c r="D64" s="65"/>
      <c r="E64" s="63"/>
      <c r="F64" s="63"/>
      <c r="G64" s="65"/>
      <c r="H64" s="70"/>
      <c r="I64" s="34"/>
      <c r="X64" s="8" t="s">
        <v>10</v>
      </c>
      <c r="Y64" s="8"/>
      <c r="Z64" s="8"/>
      <c r="AA64" s="8"/>
      <c r="AB64" s="8"/>
      <c r="AC64" s="8"/>
      <c r="AD64" s="31"/>
      <c r="AF64" s="8" t="s">
        <v>10</v>
      </c>
      <c r="AG64" s="8"/>
      <c r="AH64" s="8"/>
      <c r="AI64" s="8"/>
      <c r="AJ64" s="8"/>
      <c r="AK64" s="8"/>
      <c r="AL64" s="31"/>
      <c r="AQ64" s="32"/>
    </row>
    <row r="65" spans="2:38" x14ac:dyDescent="0.25">
      <c r="B65" s="45">
        <v>38</v>
      </c>
      <c r="C65" s="28"/>
      <c r="D65" s="65"/>
      <c r="E65" s="63"/>
      <c r="F65" s="29"/>
      <c r="G65" s="65"/>
      <c r="H65" s="46"/>
      <c r="I65" s="34"/>
      <c r="J65" s="130" t="s">
        <v>27</v>
      </c>
      <c r="K65" s="131"/>
      <c r="L65" s="131"/>
      <c r="M65" s="131"/>
      <c r="N65" s="131"/>
      <c r="O65" s="132"/>
      <c r="Q65" s="130" t="s">
        <v>27</v>
      </c>
      <c r="R65" s="131"/>
      <c r="S65" s="131"/>
      <c r="T65" s="131"/>
      <c r="U65" s="131"/>
      <c r="V65" s="132"/>
    </row>
    <row r="66" spans="2:38" x14ac:dyDescent="0.25">
      <c r="B66" s="45">
        <v>39</v>
      </c>
      <c r="C66" s="28"/>
      <c r="D66" s="65"/>
      <c r="E66" s="63"/>
      <c r="F66" s="29"/>
      <c r="G66" s="65"/>
      <c r="H66" s="46"/>
      <c r="I66" s="34"/>
      <c r="J66" s="37" t="s">
        <v>8</v>
      </c>
      <c r="K66" s="37" t="s">
        <v>11</v>
      </c>
      <c r="L66" s="37" t="s">
        <v>1</v>
      </c>
      <c r="M66" s="5" t="s">
        <v>2</v>
      </c>
      <c r="N66" s="7" t="s">
        <v>3</v>
      </c>
      <c r="O66" s="7" t="s">
        <v>4</v>
      </c>
      <c r="Q66" s="37" t="s">
        <v>8</v>
      </c>
      <c r="R66" s="37" t="s">
        <v>11</v>
      </c>
      <c r="S66" s="25" t="s">
        <v>1</v>
      </c>
      <c r="T66" s="36" t="s">
        <v>2</v>
      </c>
      <c r="U66" s="6" t="s">
        <v>3</v>
      </c>
      <c r="V66" s="7" t="s">
        <v>4</v>
      </c>
      <c r="X66" s="144" t="s">
        <v>23</v>
      </c>
      <c r="Y66" s="145"/>
      <c r="Z66" s="145"/>
      <c r="AA66" s="145"/>
      <c r="AB66" s="145"/>
      <c r="AC66" s="145"/>
      <c r="AD66" s="146"/>
      <c r="AF66" s="144" t="s">
        <v>26</v>
      </c>
      <c r="AG66" s="145"/>
      <c r="AH66" s="145"/>
      <c r="AI66" s="145"/>
      <c r="AJ66" s="145"/>
      <c r="AK66" s="145"/>
      <c r="AL66" s="146"/>
    </row>
    <row r="67" spans="2:38" x14ac:dyDescent="0.25">
      <c r="B67" s="45">
        <v>40</v>
      </c>
      <c r="C67" s="28"/>
      <c r="D67" s="65"/>
      <c r="E67" s="63"/>
      <c r="F67" s="29"/>
      <c r="G67" s="65"/>
      <c r="H67" s="46"/>
      <c r="I67" s="34"/>
      <c r="J67" s="6" t="s">
        <v>11</v>
      </c>
      <c r="K67" s="9">
        <v>1</v>
      </c>
      <c r="L67" s="33">
        <f>(L59-N59*N60)/SQRT((1-N60^2)*(1-N59^2))</f>
        <v>0.42871457851757344</v>
      </c>
      <c r="M67" s="33">
        <f>(M59-N59*N61)/SQRT((1-N61^2)*(1-N59^2))</f>
        <v>-0.99762036753218231</v>
      </c>
      <c r="N67" s="8"/>
      <c r="O67" s="8"/>
      <c r="Q67" s="6" t="s">
        <v>11</v>
      </c>
      <c r="R67" s="9">
        <v>1</v>
      </c>
      <c r="S67" s="8"/>
      <c r="T67" s="8"/>
      <c r="U67" s="33">
        <f>(U59-T59*U61)/SQRT((1-U61^2)*(1-T59^2))</f>
        <v>-8.2052067462437678E-3</v>
      </c>
      <c r="V67" s="8"/>
      <c r="X67" s="17" t="s">
        <v>8</v>
      </c>
      <c r="Y67" s="17" t="s">
        <v>11</v>
      </c>
      <c r="Z67" s="7" t="s">
        <v>1</v>
      </c>
      <c r="AA67" s="7" t="s">
        <v>2</v>
      </c>
      <c r="AB67" s="17" t="s">
        <v>3</v>
      </c>
      <c r="AC67" s="17" t="s">
        <v>4</v>
      </c>
      <c r="AD67" s="6" t="s">
        <v>10</v>
      </c>
      <c r="AF67" s="17" t="s">
        <v>8</v>
      </c>
      <c r="AG67" s="17" t="s">
        <v>11</v>
      </c>
      <c r="AH67" s="7" t="s">
        <v>1</v>
      </c>
      <c r="AI67" s="7" t="s">
        <v>2</v>
      </c>
      <c r="AJ67" s="7" t="s">
        <v>3</v>
      </c>
      <c r="AK67" s="17" t="s">
        <v>4</v>
      </c>
      <c r="AL67" s="7" t="s">
        <v>10</v>
      </c>
    </row>
    <row r="68" spans="2:38" x14ac:dyDescent="0.25">
      <c r="B68" s="45">
        <v>41</v>
      </c>
      <c r="C68" s="28"/>
      <c r="D68" s="65"/>
      <c r="E68" s="63"/>
      <c r="F68" s="29"/>
      <c r="G68" s="65"/>
      <c r="H68" s="46"/>
      <c r="I68" s="34"/>
      <c r="J68" s="6" t="s">
        <v>1</v>
      </c>
      <c r="K68" s="8"/>
      <c r="L68" s="9">
        <v>1</v>
      </c>
      <c r="M68" s="33">
        <f>(M60-N60*N61)/SQRT((1-N61^2)*(1-N60^2))</f>
        <v>-0.42972190181785969</v>
      </c>
      <c r="N68" s="8"/>
      <c r="O68" s="8"/>
      <c r="Q68" s="7" t="s">
        <v>1</v>
      </c>
      <c r="R68" s="8"/>
      <c r="S68" s="8"/>
      <c r="T68" s="8"/>
      <c r="U68" s="8"/>
      <c r="V68" s="8"/>
      <c r="X68" s="33" t="s">
        <v>11</v>
      </c>
      <c r="Y68" s="33">
        <v>1</v>
      </c>
      <c r="Z68" s="8"/>
      <c r="AA68" s="8"/>
      <c r="AB68" s="33">
        <f>(AJ32-AI32*AJ34)/SQRT((1-AI32^2)*(1-AJ34^2))</f>
        <v>-4.3614308512584771E-2</v>
      </c>
      <c r="AC68" s="33">
        <f>(AK32-AI32*AK34)/SQRT((1-AI32^2)*(1-AK34^2))</f>
        <v>5.5829479086438323E-2</v>
      </c>
      <c r="AD68" s="33">
        <f>(AL32-AI32*AL34)/SQRT((1-AI32^2)*(1-AL34^2))</f>
        <v>-5.1746628977503923E-3</v>
      </c>
      <c r="AF68" s="33" t="s">
        <v>11</v>
      </c>
      <c r="AG68" s="33">
        <v>1</v>
      </c>
      <c r="AH68" s="8"/>
      <c r="AI68" s="8"/>
      <c r="AJ68" s="8"/>
      <c r="AK68" s="33">
        <f>(AC117-AD117*AD121)/SQRT((1-AD117^2)*(1-AD121^2))</f>
        <v>5.2658419909950516E-2</v>
      </c>
      <c r="AL68" s="8"/>
    </row>
    <row r="69" spans="2:38" x14ac:dyDescent="0.25">
      <c r="B69" s="45">
        <v>42</v>
      </c>
      <c r="C69" s="28"/>
      <c r="D69" s="65"/>
      <c r="E69" s="63"/>
      <c r="F69" s="29"/>
      <c r="G69" s="65"/>
      <c r="H69" s="46"/>
      <c r="I69" s="34"/>
      <c r="J69" s="6" t="s">
        <v>2</v>
      </c>
      <c r="K69" s="8"/>
      <c r="L69" s="8"/>
      <c r="M69" s="9">
        <v>1</v>
      </c>
      <c r="N69" s="8"/>
      <c r="O69" s="8"/>
      <c r="Q69" s="7" t="s">
        <v>2</v>
      </c>
      <c r="R69" s="8"/>
      <c r="S69" s="8"/>
      <c r="T69" s="8"/>
      <c r="U69" s="8"/>
      <c r="V69" s="8"/>
      <c r="X69" s="8" t="s">
        <v>1</v>
      </c>
      <c r="Y69" s="8"/>
      <c r="Z69" s="8"/>
      <c r="AA69" s="8"/>
      <c r="AB69" s="8"/>
      <c r="AC69" s="8"/>
      <c r="AD69" s="8"/>
      <c r="AF69" s="8" t="s">
        <v>1</v>
      </c>
      <c r="AG69" s="8"/>
      <c r="AH69" s="8"/>
      <c r="AI69" s="8"/>
      <c r="AJ69" s="8"/>
      <c r="AK69" s="8"/>
      <c r="AL69" s="8"/>
    </row>
    <row r="70" spans="2:38" x14ac:dyDescent="0.25">
      <c r="B70" s="45">
        <v>43</v>
      </c>
      <c r="C70" s="28"/>
      <c r="D70" s="65"/>
      <c r="E70" s="63"/>
      <c r="F70" s="29"/>
      <c r="G70" s="65"/>
      <c r="H70" s="46"/>
      <c r="I70" s="34"/>
      <c r="J70" s="6"/>
      <c r="K70" s="8"/>
      <c r="L70" s="8"/>
      <c r="M70" s="9"/>
      <c r="N70" s="8"/>
      <c r="O70" s="8"/>
      <c r="Q70" s="7"/>
      <c r="R70" s="8"/>
      <c r="S70" s="8"/>
      <c r="T70" s="8"/>
      <c r="U70" s="8"/>
      <c r="V70" s="8"/>
      <c r="X70" s="8"/>
      <c r="Y70" s="8"/>
      <c r="Z70" s="8"/>
      <c r="AA70" s="8"/>
      <c r="AB70" s="8"/>
      <c r="AC70" s="8"/>
      <c r="AD70" s="8"/>
      <c r="AF70" s="8"/>
      <c r="AG70" s="8"/>
      <c r="AH70" s="8"/>
      <c r="AI70" s="8"/>
      <c r="AJ70" s="8"/>
      <c r="AK70" s="8"/>
      <c r="AL70" s="8"/>
    </row>
    <row r="71" spans="2:38" x14ac:dyDescent="0.25">
      <c r="B71" s="45">
        <v>44</v>
      </c>
      <c r="C71" s="28"/>
      <c r="D71" s="65"/>
      <c r="E71" s="63"/>
      <c r="F71" s="29"/>
      <c r="G71" s="65"/>
      <c r="H71" s="46"/>
      <c r="I71" s="34"/>
      <c r="J71" s="6"/>
      <c r="K71" s="8"/>
      <c r="L71" s="8"/>
      <c r="M71" s="9"/>
      <c r="N71" s="8"/>
      <c r="O71" s="8"/>
      <c r="Q71" s="7"/>
      <c r="R71" s="8"/>
      <c r="S71" s="8"/>
      <c r="T71" s="8"/>
      <c r="U71" s="8"/>
      <c r="V71" s="8"/>
      <c r="X71" s="8"/>
      <c r="Y71" s="8"/>
      <c r="Z71" s="8"/>
      <c r="AA71" s="8"/>
      <c r="AB71" s="8"/>
      <c r="AC71" s="8"/>
      <c r="AD71" s="8"/>
      <c r="AF71" s="8"/>
      <c r="AG71" s="8"/>
      <c r="AH71" s="8"/>
      <c r="AI71" s="8"/>
      <c r="AJ71" s="8"/>
      <c r="AK71" s="8"/>
      <c r="AL71" s="8"/>
    </row>
    <row r="72" spans="2:38" x14ac:dyDescent="0.25">
      <c r="B72" s="45">
        <v>45</v>
      </c>
      <c r="C72" s="28"/>
      <c r="D72" s="65"/>
      <c r="E72" s="63"/>
      <c r="F72" s="29"/>
      <c r="G72" s="65"/>
      <c r="H72" s="46"/>
      <c r="I72" s="34"/>
      <c r="J72" s="6"/>
      <c r="K72" s="8"/>
      <c r="L72" s="8"/>
      <c r="M72" s="9"/>
      <c r="N72" s="8"/>
      <c r="O72" s="8"/>
      <c r="Q72" s="7"/>
      <c r="R72" s="8"/>
      <c r="S72" s="8"/>
      <c r="T72" s="8"/>
      <c r="U72" s="8"/>
      <c r="V72" s="8"/>
      <c r="X72" s="8"/>
      <c r="Y72" s="8"/>
      <c r="Z72" s="8"/>
      <c r="AA72" s="8"/>
      <c r="AB72" s="8"/>
      <c r="AC72" s="8"/>
      <c r="AD72" s="8"/>
      <c r="AF72" s="8"/>
      <c r="AG72" s="8"/>
      <c r="AH72" s="8"/>
      <c r="AI72" s="8"/>
      <c r="AJ72" s="8"/>
      <c r="AK72" s="8"/>
      <c r="AL72" s="8"/>
    </row>
    <row r="73" spans="2:38" x14ac:dyDescent="0.25">
      <c r="B73" s="45">
        <v>46</v>
      </c>
      <c r="C73" s="28"/>
      <c r="D73" s="65"/>
      <c r="E73" s="63"/>
      <c r="F73" s="29"/>
      <c r="G73" s="65"/>
      <c r="H73" s="46"/>
      <c r="I73" s="34"/>
      <c r="J73" s="6"/>
      <c r="K73" s="8"/>
      <c r="L73" s="8"/>
      <c r="M73" s="9"/>
      <c r="N73" s="8"/>
      <c r="O73" s="8"/>
      <c r="Q73" s="7"/>
      <c r="R73" s="8"/>
      <c r="S73" s="8"/>
      <c r="T73" s="8"/>
      <c r="U73" s="8"/>
      <c r="V73" s="8"/>
      <c r="X73" s="8"/>
      <c r="Y73" s="8"/>
      <c r="Z73" s="8"/>
      <c r="AA73" s="8"/>
      <c r="AB73" s="8"/>
      <c r="AC73" s="8"/>
      <c r="AD73" s="8"/>
      <c r="AF73" s="8"/>
      <c r="AG73" s="8"/>
      <c r="AH73" s="8"/>
      <c r="AI73" s="8"/>
      <c r="AJ73" s="8"/>
      <c r="AK73" s="8"/>
      <c r="AL73" s="8"/>
    </row>
    <row r="74" spans="2:38" x14ac:dyDescent="0.25">
      <c r="B74" s="45">
        <v>47</v>
      </c>
      <c r="C74" s="28"/>
      <c r="D74" s="65"/>
      <c r="E74" s="63"/>
      <c r="F74" s="29"/>
      <c r="G74" s="65"/>
      <c r="H74" s="46"/>
      <c r="I74" s="34"/>
      <c r="J74" s="6"/>
      <c r="K74" s="8"/>
      <c r="L74" s="8"/>
      <c r="M74" s="9"/>
      <c r="N74" s="8"/>
      <c r="O74" s="8"/>
      <c r="Q74" s="7"/>
      <c r="R74" s="8"/>
      <c r="S74" s="8"/>
      <c r="T74" s="8"/>
      <c r="U74" s="8"/>
      <c r="V74" s="8"/>
      <c r="X74" s="8"/>
      <c r="Y74" s="8"/>
      <c r="Z74" s="8"/>
      <c r="AA74" s="8"/>
      <c r="AB74" s="8"/>
      <c r="AC74" s="8"/>
      <c r="AD74" s="8"/>
      <c r="AF74" s="8"/>
      <c r="AG74" s="8"/>
      <c r="AH74" s="8"/>
      <c r="AI74" s="8"/>
      <c r="AJ74" s="8"/>
      <c r="AK74" s="8"/>
      <c r="AL74" s="8"/>
    </row>
    <row r="75" spans="2:38" x14ac:dyDescent="0.25">
      <c r="B75" s="45">
        <v>48</v>
      </c>
      <c r="C75" s="28"/>
      <c r="D75" s="65"/>
      <c r="E75" s="63"/>
      <c r="F75" s="29"/>
      <c r="G75" s="65"/>
      <c r="H75" s="46"/>
      <c r="I75" s="34"/>
      <c r="J75" s="6"/>
      <c r="K75" s="8"/>
      <c r="L75" s="8"/>
      <c r="M75" s="9"/>
      <c r="N75" s="8"/>
      <c r="O75" s="8"/>
      <c r="Q75" s="7"/>
      <c r="R75" s="8"/>
      <c r="S75" s="8"/>
      <c r="T75" s="8"/>
      <c r="U75" s="8"/>
      <c r="V75" s="8"/>
      <c r="X75" s="8"/>
      <c r="Y75" s="8"/>
      <c r="Z75" s="8"/>
      <c r="AA75" s="8"/>
      <c r="AB75" s="8"/>
      <c r="AC75" s="8"/>
      <c r="AD75" s="8"/>
      <c r="AF75" s="8"/>
      <c r="AG75" s="8"/>
      <c r="AH75" s="8"/>
      <c r="AI75" s="8"/>
      <c r="AJ75" s="8"/>
      <c r="AK75" s="8"/>
      <c r="AL75" s="8"/>
    </row>
    <row r="76" spans="2:38" x14ac:dyDescent="0.25">
      <c r="B76" s="45">
        <v>49</v>
      </c>
      <c r="C76" s="28"/>
      <c r="D76" s="65"/>
      <c r="E76" s="63"/>
      <c r="F76" s="29"/>
      <c r="G76" s="65"/>
      <c r="H76" s="46"/>
      <c r="I76" s="34"/>
      <c r="J76" s="6"/>
      <c r="K76" s="8"/>
      <c r="L76" s="8"/>
      <c r="M76" s="9"/>
      <c r="N76" s="8"/>
      <c r="O76" s="8"/>
      <c r="Q76" s="7"/>
      <c r="R76" s="8"/>
      <c r="S76" s="8"/>
      <c r="T76" s="8"/>
      <c r="U76" s="8"/>
      <c r="V76" s="8"/>
      <c r="X76" s="8"/>
      <c r="Y76" s="8"/>
      <c r="Z76" s="8"/>
      <c r="AA76" s="8"/>
      <c r="AB76" s="8"/>
      <c r="AC76" s="8"/>
      <c r="AD76" s="8"/>
      <c r="AF76" s="8"/>
      <c r="AG76" s="8"/>
      <c r="AH76" s="8"/>
      <c r="AI76" s="8"/>
      <c r="AJ76" s="8"/>
      <c r="AK76" s="8"/>
      <c r="AL76" s="8"/>
    </row>
    <row r="77" spans="2:38" x14ac:dyDescent="0.25">
      <c r="B77" s="45">
        <v>50</v>
      </c>
      <c r="C77" s="28"/>
      <c r="D77" s="65"/>
      <c r="E77" s="63"/>
      <c r="F77" s="29"/>
      <c r="G77" s="65"/>
      <c r="H77" s="46"/>
      <c r="I77" s="34"/>
      <c r="J77" s="6"/>
      <c r="K77" s="8"/>
      <c r="L77" s="8"/>
      <c r="M77" s="9"/>
      <c r="N77" s="8"/>
      <c r="O77" s="8"/>
      <c r="Q77" s="7"/>
      <c r="R77" s="8"/>
      <c r="S77" s="8"/>
      <c r="T77" s="8"/>
      <c r="U77" s="8"/>
      <c r="V77" s="8"/>
      <c r="X77" s="8"/>
      <c r="Y77" s="8"/>
      <c r="Z77" s="8"/>
      <c r="AA77" s="8"/>
      <c r="AB77" s="8"/>
      <c r="AC77" s="8"/>
      <c r="AD77" s="8"/>
      <c r="AF77" s="8"/>
      <c r="AG77" s="8"/>
      <c r="AH77" s="8"/>
      <c r="AI77" s="8"/>
      <c r="AJ77" s="8"/>
      <c r="AK77" s="8"/>
      <c r="AL77" s="8"/>
    </row>
    <row r="78" spans="2:38" x14ac:dyDescent="0.25">
      <c r="B78" s="45">
        <v>51</v>
      </c>
      <c r="C78" s="28"/>
      <c r="D78" s="65"/>
      <c r="E78" s="63"/>
      <c r="F78" s="29"/>
      <c r="G78" s="65"/>
      <c r="H78" s="46"/>
      <c r="I78" s="34"/>
      <c r="J78" s="6"/>
      <c r="K78" s="8"/>
      <c r="L78" s="8"/>
      <c r="M78" s="9"/>
      <c r="N78" s="8"/>
      <c r="O78" s="8"/>
      <c r="Q78" s="7"/>
      <c r="R78" s="8"/>
      <c r="S78" s="8"/>
      <c r="T78" s="8"/>
      <c r="U78" s="8"/>
      <c r="V78" s="8"/>
      <c r="X78" s="8"/>
      <c r="Y78" s="8"/>
      <c r="Z78" s="8"/>
      <c r="AA78" s="8"/>
      <c r="AB78" s="8"/>
      <c r="AC78" s="8"/>
      <c r="AD78" s="8"/>
      <c r="AF78" s="8"/>
      <c r="AG78" s="8"/>
      <c r="AH78" s="8"/>
      <c r="AI78" s="8"/>
      <c r="AJ78" s="8"/>
      <c r="AK78" s="8"/>
      <c r="AL78" s="8"/>
    </row>
    <row r="79" spans="2:38" x14ac:dyDescent="0.25">
      <c r="B79" s="45">
        <v>52</v>
      </c>
      <c r="C79" s="28"/>
      <c r="D79" s="65"/>
      <c r="E79" s="63"/>
      <c r="F79" s="29"/>
      <c r="G79" s="65"/>
      <c r="H79" s="46"/>
      <c r="I79" s="34"/>
      <c r="J79" s="6"/>
      <c r="K79" s="8"/>
      <c r="L79" s="8"/>
      <c r="M79" s="9"/>
      <c r="N79" s="8"/>
      <c r="O79" s="8"/>
      <c r="Q79" s="7"/>
      <c r="R79" s="8"/>
      <c r="S79" s="8"/>
      <c r="T79" s="8"/>
      <c r="U79" s="8"/>
      <c r="V79" s="8"/>
      <c r="X79" s="8"/>
      <c r="Y79" s="8"/>
      <c r="Z79" s="8"/>
      <c r="AA79" s="8"/>
      <c r="AB79" s="8"/>
      <c r="AC79" s="8"/>
      <c r="AD79" s="8"/>
      <c r="AF79" s="8"/>
      <c r="AG79" s="8"/>
      <c r="AH79" s="8"/>
      <c r="AI79" s="8"/>
      <c r="AJ79" s="8"/>
      <c r="AK79" s="8"/>
      <c r="AL79" s="8"/>
    </row>
    <row r="80" spans="2:38" x14ac:dyDescent="0.25">
      <c r="B80" s="45">
        <v>53</v>
      </c>
      <c r="C80" s="28"/>
      <c r="D80" s="65"/>
      <c r="E80" s="63"/>
      <c r="F80" s="29"/>
      <c r="G80" s="65"/>
      <c r="H80" s="46"/>
      <c r="I80" s="34"/>
      <c r="J80" s="6"/>
      <c r="K80" s="8"/>
      <c r="L80" s="8"/>
      <c r="M80" s="9"/>
      <c r="N80" s="8"/>
      <c r="O80" s="8"/>
      <c r="Q80" s="7"/>
      <c r="R80" s="8"/>
      <c r="S80" s="8"/>
      <c r="T80" s="8"/>
      <c r="U80" s="8"/>
      <c r="V80" s="8"/>
      <c r="X80" s="8"/>
      <c r="Y80" s="8"/>
      <c r="Z80" s="8"/>
      <c r="AA80" s="8"/>
      <c r="AB80" s="8"/>
      <c r="AC80" s="8"/>
      <c r="AD80" s="8"/>
      <c r="AF80" s="8"/>
      <c r="AG80" s="8"/>
      <c r="AH80" s="8"/>
      <c r="AI80" s="8"/>
      <c r="AJ80" s="8"/>
      <c r="AK80" s="8"/>
      <c r="AL80" s="8"/>
    </row>
    <row r="81" spans="2:38" x14ac:dyDescent="0.25">
      <c r="B81" s="45">
        <v>54</v>
      </c>
      <c r="C81" s="28"/>
      <c r="D81" s="65"/>
      <c r="E81" s="63"/>
      <c r="F81" s="29"/>
      <c r="G81" s="65"/>
      <c r="H81" s="46"/>
      <c r="I81" s="34"/>
      <c r="J81" s="6"/>
      <c r="K81" s="8"/>
      <c r="L81" s="8"/>
      <c r="M81" s="9"/>
      <c r="N81" s="8"/>
      <c r="O81" s="8"/>
      <c r="Q81" s="7"/>
      <c r="R81" s="8"/>
      <c r="S81" s="8"/>
      <c r="T81" s="8"/>
      <c r="U81" s="8"/>
      <c r="V81" s="8"/>
      <c r="X81" s="8"/>
      <c r="Y81" s="8"/>
      <c r="Z81" s="8"/>
      <c r="AA81" s="8"/>
      <c r="AB81" s="8"/>
      <c r="AC81" s="8"/>
      <c r="AD81" s="8"/>
      <c r="AF81" s="8"/>
      <c r="AG81" s="8"/>
      <c r="AH81" s="8"/>
      <c r="AI81" s="8"/>
      <c r="AJ81" s="8"/>
      <c r="AK81" s="8"/>
      <c r="AL81" s="8"/>
    </row>
    <row r="82" spans="2:38" x14ac:dyDescent="0.25">
      <c r="B82" s="45">
        <v>55</v>
      </c>
      <c r="C82" s="28"/>
      <c r="D82" s="65"/>
      <c r="E82" s="63"/>
      <c r="F82" s="29"/>
      <c r="G82" s="65"/>
      <c r="H82" s="46"/>
      <c r="I82" s="34"/>
      <c r="J82" s="6"/>
      <c r="K82" s="8"/>
      <c r="L82" s="8"/>
      <c r="M82" s="9"/>
      <c r="N82" s="8"/>
      <c r="O82" s="8"/>
      <c r="Q82" s="7"/>
      <c r="R82" s="8"/>
      <c r="S82" s="8"/>
      <c r="T82" s="8"/>
      <c r="U82" s="8"/>
      <c r="V82" s="8"/>
      <c r="X82" s="8"/>
      <c r="Y82" s="8"/>
      <c r="Z82" s="8"/>
      <c r="AA82" s="8"/>
      <c r="AB82" s="8"/>
      <c r="AC82" s="8"/>
      <c r="AD82" s="8"/>
      <c r="AF82" s="8"/>
      <c r="AG82" s="8"/>
      <c r="AH82" s="8"/>
      <c r="AI82" s="8"/>
      <c r="AJ82" s="8"/>
      <c r="AK82" s="8"/>
      <c r="AL82" s="8"/>
    </row>
    <row r="83" spans="2:38" x14ac:dyDescent="0.25">
      <c r="B83" s="45">
        <v>56</v>
      </c>
      <c r="C83" s="28"/>
      <c r="D83" s="65"/>
      <c r="E83" s="63"/>
      <c r="F83" s="29"/>
      <c r="G83" s="65"/>
      <c r="H83" s="46"/>
      <c r="I83" s="34"/>
      <c r="J83" s="6"/>
      <c r="K83" s="8"/>
      <c r="L83" s="8"/>
      <c r="M83" s="9"/>
      <c r="N83" s="8"/>
      <c r="O83" s="8"/>
      <c r="Q83" s="7"/>
      <c r="R83" s="8"/>
      <c r="S83" s="8"/>
      <c r="T83" s="8"/>
      <c r="U83" s="8"/>
      <c r="V83" s="8"/>
      <c r="X83" s="8"/>
      <c r="Y83" s="8"/>
      <c r="Z83" s="8"/>
      <c r="AA83" s="8"/>
      <c r="AB83" s="8"/>
      <c r="AC83" s="8"/>
      <c r="AD83" s="8"/>
      <c r="AF83" s="8"/>
      <c r="AG83" s="8"/>
      <c r="AH83" s="8"/>
      <c r="AI83" s="8"/>
      <c r="AJ83" s="8"/>
      <c r="AK83" s="8"/>
      <c r="AL83" s="8"/>
    </row>
    <row r="84" spans="2:38" x14ac:dyDescent="0.25">
      <c r="B84" s="45">
        <v>57</v>
      </c>
      <c r="C84" s="28"/>
      <c r="D84" s="65"/>
      <c r="E84" s="63"/>
      <c r="F84" s="29"/>
      <c r="G84" s="65"/>
      <c r="H84" s="46"/>
      <c r="I84" s="34"/>
      <c r="J84" s="6"/>
      <c r="K84" s="8"/>
      <c r="L84" s="8"/>
      <c r="M84" s="9"/>
      <c r="N84" s="8"/>
      <c r="O84" s="8"/>
      <c r="Q84" s="7"/>
      <c r="R84" s="8"/>
      <c r="S84" s="8"/>
      <c r="T84" s="8"/>
      <c r="U84" s="8"/>
      <c r="V84" s="8"/>
      <c r="X84" s="8"/>
      <c r="Y84" s="8"/>
      <c r="Z84" s="8"/>
      <c r="AA84" s="8"/>
      <c r="AB84" s="8"/>
      <c r="AC84" s="8"/>
      <c r="AD84" s="8"/>
      <c r="AF84" s="8"/>
      <c r="AG84" s="8"/>
      <c r="AH84" s="8"/>
      <c r="AI84" s="8"/>
      <c r="AJ84" s="8"/>
      <c r="AK84" s="8"/>
      <c r="AL84" s="8"/>
    </row>
    <row r="85" spans="2:38" x14ac:dyDescent="0.25">
      <c r="B85" s="45">
        <v>58</v>
      </c>
      <c r="C85" s="28"/>
      <c r="D85" s="65"/>
      <c r="E85" s="63"/>
      <c r="F85" s="29"/>
      <c r="G85" s="65"/>
      <c r="H85" s="46"/>
      <c r="I85" s="34"/>
      <c r="J85" s="6"/>
      <c r="K85" s="8"/>
      <c r="L85" s="8"/>
      <c r="M85" s="9"/>
      <c r="N85" s="8"/>
      <c r="O85" s="8"/>
      <c r="Q85" s="7"/>
      <c r="R85" s="8"/>
      <c r="S85" s="8"/>
      <c r="T85" s="8"/>
      <c r="U85" s="8"/>
      <c r="V85" s="8"/>
      <c r="X85" s="8"/>
      <c r="Y85" s="8"/>
      <c r="Z85" s="8"/>
      <c r="AA85" s="8"/>
      <c r="AB85" s="8"/>
      <c r="AC85" s="8"/>
      <c r="AD85" s="8"/>
      <c r="AF85" s="8"/>
      <c r="AG85" s="8"/>
      <c r="AH85" s="8"/>
      <c r="AI85" s="8"/>
      <c r="AJ85" s="8"/>
      <c r="AK85" s="8"/>
      <c r="AL85" s="8"/>
    </row>
    <row r="86" spans="2:38" x14ac:dyDescent="0.25">
      <c r="B86" s="45">
        <v>59</v>
      </c>
      <c r="C86" s="28"/>
      <c r="D86" s="65"/>
      <c r="E86" s="63"/>
      <c r="F86" s="29"/>
      <c r="G86" s="65"/>
      <c r="H86" s="46"/>
      <c r="I86" s="34"/>
      <c r="J86" s="6"/>
      <c r="K86" s="8"/>
      <c r="L86" s="8"/>
      <c r="M86" s="9"/>
      <c r="N86" s="8"/>
      <c r="O86" s="8"/>
      <c r="Q86" s="7"/>
      <c r="R86" s="8"/>
      <c r="S86" s="8"/>
      <c r="T86" s="8"/>
      <c r="U86" s="8"/>
      <c r="V86" s="8"/>
      <c r="X86" s="8"/>
      <c r="Y86" s="8"/>
      <c r="Z86" s="8"/>
      <c r="AA86" s="8"/>
      <c r="AB86" s="8"/>
      <c r="AC86" s="8"/>
      <c r="AD86" s="8"/>
      <c r="AF86" s="8"/>
      <c r="AG86" s="8"/>
      <c r="AH86" s="8"/>
      <c r="AI86" s="8"/>
      <c r="AJ86" s="8"/>
      <c r="AK86" s="8"/>
      <c r="AL86" s="8"/>
    </row>
    <row r="87" spans="2:38" x14ac:dyDescent="0.25">
      <c r="B87" s="45">
        <v>60</v>
      </c>
      <c r="C87" s="28"/>
      <c r="D87" s="65"/>
      <c r="E87" s="63"/>
      <c r="F87" s="29"/>
      <c r="G87" s="65"/>
      <c r="H87" s="46"/>
      <c r="I87" s="34"/>
      <c r="J87" s="6"/>
      <c r="K87" s="8"/>
      <c r="L87" s="8"/>
      <c r="M87" s="9"/>
      <c r="N87" s="8"/>
      <c r="O87" s="8"/>
      <c r="Q87" s="7"/>
      <c r="R87" s="8"/>
      <c r="S87" s="8"/>
      <c r="T87" s="8"/>
      <c r="U87" s="8"/>
      <c r="V87" s="8"/>
      <c r="X87" s="8"/>
      <c r="Y87" s="8"/>
      <c r="Z87" s="8"/>
      <c r="AA87" s="8"/>
      <c r="AB87" s="8"/>
      <c r="AC87" s="8"/>
      <c r="AD87" s="8"/>
      <c r="AF87" s="8"/>
      <c r="AG87" s="8"/>
      <c r="AH87" s="8"/>
      <c r="AI87" s="8"/>
      <c r="AJ87" s="8"/>
      <c r="AK87" s="8"/>
      <c r="AL87" s="8"/>
    </row>
    <row r="88" spans="2:38" x14ac:dyDescent="0.25">
      <c r="B88" s="45">
        <v>61</v>
      </c>
      <c r="C88" s="28"/>
      <c r="D88" s="65"/>
      <c r="E88" s="63"/>
      <c r="F88" s="29"/>
      <c r="G88" s="65"/>
      <c r="H88" s="46"/>
      <c r="I88" s="34"/>
      <c r="J88" s="6"/>
      <c r="K88" s="8"/>
      <c r="L88" s="8"/>
      <c r="M88" s="9"/>
      <c r="N88" s="8"/>
      <c r="O88" s="8"/>
      <c r="Q88" s="7"/>
      <c r="R88" s="8"/>
      <c r="S88" s="8"/>
      <c r="T88" s="8"/>
      <c r="U88" s="8"/>
      <c r="V88" s="8"/>
      <c r="X88" s="8"/>
      <c r="Y88" s="8"/>
      <c r="Z88" s="8"/>
      <c r="AA88" s="8"/>
      <c r="AB88" s="8"/>
      <c r="AC88" s="8"/>
      <c r="AD88" s="8"/>
      <c r="AF88" s="8"/>
      <c r="AG88" s="8"/>
      <c r="AH88" s="8"/>
      <c r="AI88" s="8"/>
      <c r="AJ88" s="8"/>
      <c r="AK88" s="8"/>
      <c r="AL88" s="8"/>
    </row>
    <row r="89" spans="2:38" x14ac:dyDescent="0.25">
      <c r="B89" s="45">
        <v>62</v>
      </c>
      <c r="C89" s="28"/>
      <c r="D89" s="65"/>
      <c r="E89" s="63"/>
      <c r="F89" s="29"/>
      <c r="G89" s="65"/>
      <c r="H89" s="46"/>
      <c r="I89" s="34"/>
      <c r="J89" s="6"/>
      <c r="K89" s="8"/>
      <c r="L89" s="8"/>
      <c r="M89" s="9"/>
      <c r="N89" s="8"/>
      <c r="O89" s="8"/>
      <c r="Q89" s="7"/>
      <c r="R89" s="8"/>
      <c r="S89" s="8"/>
      <c r="T89" s="8"/>
      <c r="U89" s="8"/>
      <c r="V89" s="8"/>
      <c r="X89" s="8"/>
      <c r="Y89" s="8"/>
      <c r="Z89" s="8"/>
      <c r="AA89" s="8"/>
      <c r="AB89" s="8"/>
      <c r="AC89" s="8"/>
      <c r="AD89" s="8"/>
      <c r="AF89" s="8"/>
      <c r="AG89" s="8"/>
      <c r="AH89" s="8"/>
      <c r="AI89" s="8"/>
      <c r="AJ89" s="8"/>
      <c r="AK89" s="8"/>
      <c r="AL89" s="8"/>
    </row>
    <row r="90" spans="2:38" x14ac:dyDescent="0.25">
      <c r="B90" s="45">
        <v>63</v>
      </c>
      <c r="C90" s="28"/>
      <c r="D90" s="65"/>
      <c r="E90" s="63"/>
      <c r="F90" s="29"/>
      <c r="G90" s="65"/>
      <c r="H90" s="46"/>
      <c r="I90" s="34"/>
      <c r="J90" s="6"/>
      <c r="K90" s="8"/>
      <c r="L90" s="8"/>
      <c r="M90" s="9"/>
      <c r="N90" s="8"/>
      <c r="O90" s="8"/>
      <c r="Q90" s="7"/>
      <c r="R90" s="8"/>
      <c r="S90" s="8"/>
      <c r="T90" s="8"/>
      <c r="U90" s="8"/>
      <c r="V90" s="8"/>
      <c r="X90" s="8"/>
      <c r="Y90" s="8"/>
      <c r="Z90" s="8"/>
      <c r="AA90" s="8"/>
      <c r="AB90" s="8"/>
      <c r="AC90" s="8"/>
      <c r="AD90" s="8"/>
      <c r="AF90" s="8"/>
      <c r="AG90" s="8"/>
      <c r="AH90" s="8"/>
      <c r="AI90" s="8"/>
      <c r="AJ90" s="8"/>
      <c r="AK90" s="8"/>
      <c r="AL90" s="8"/>
    </row>
    <row r="91" spans="2:38" x14ac:dyDescent="0.25">
      <c r="B91" s="45">
        <v>64</v>
      </c>
      <c r="C91" s="28"/>
      <c r="D91" s="65"/>
      <c r="E91" s="63"/>
      <c r="F91" s="29"/>
      <c r="G91" s="65"/>
      <c r="H91" s="46"/>
      <c r="I91" s="34"/>
      <c r="J91" s="6"/>
      <c r="K91" s="8"/>
      <c r="L91" s="8"/>
      <c r="M91" s="9"/>
      <c r="N91" s="8"/>
      <c r="O91" s="8"/>
      <c r="Q91" s="7"/>
      <c r="R91" s="8"/>
      <c r="S91" s="8"/>
      <c r="T91" s="8"/>
      <c r="U91" s="8"/>
      <c r="V91" s="8"/>
      <c r="X91" s="8"/>
      <c r="Y91" s="8"/>
      <c r="Z91" s="8"/>
      <c r="AA91" s="8"/>
      <c r="AB91" s="8"/>
      <c r="AC91" s="8"/>
      <c r="AD91" s="8"/>
      <c r="AF91" s="8"/>
      <c r="AG91" s="8"/>
      <c r="AH91" s="8"/>
      <c r="AI91" s="8"/>
      <c r="AJ91" s="8"/>
      <c r="AK91" s="8"/>
      <c r="AL91" s="8"/>
    </row>
    <row r="92" spans="2:38" x14ac:dyDescent="0.25">
      <c r="B92" s="45">
        <v>65</v>
      </c>
      <c r="C92" s="28"/>
      <c r="D92" s="65"/>
      <c r="E92" s="63"/>
      <c r="F92" s="29"/>
      <c r="G92" s="65"/>
      <c r="H92" s="46"/>
      <c r="I92" s="34"/>
      <c r="J92" s="6"/>
      <c r="K92" s="8"/>
      <c r="L92" s="8"/>
      <c r="M92" s="9"/>
      <c r="N92" s="8"/>
      <c r="O92" s="8"/>
      <c r="Q92" s="7"/>
      <c r="R92" s="8"/>
      <c r="S92" s="8"/>
      <c r="T92" s="8"/>
      <c r="U92" s="8"/>
      <c r="V92" s="8"/>
      <c r="X92" s="8"/>
      <c r="Y92" s="8"/>
      <c r="Z92" s="8"/>
      <c r="AA92" s="8"/>
      <c r="AB92" s="8"/>
      <c r="AC92" s="8"/>
      <c r="AD92" s="8"/>
      <c r="AF92" s="8"/>
      <c r="AG92" s="8"/>
      <c r="AH92" s="8"/>
      <c r="AI92" s="8"/>
      <c r="AJ92" s="8"/>
      <c r="AK92" s="8"/>
      <c r="AL92" s="8"/>
    </row>
    <row r="93" spans="2:38" x14ac:dyDescent="0.25">
      <c r="B93" s="45">
        <v>66</v>
      </c>
      <c r="C93" s="28"/>
      <c r="D93" s="65"/>
      <c r="E93" s="63"/>
      <c r="F93" s="29"/>
      <c r="G93" s="65"/>
      <c r="H93" s="46"/>
      <c r="I93" s="34"/>
      <c r="J93" s="6"/>
      <c r="K93" s="8"/>
      <c r="L93" s="8"/>
      <c r="M93" s="9"/>
      <c r="N93" s="8"/>
      <c r="O93" s="8"/>
      <c r="Q93" s="7"/>
      <c r="R93" s="8"/>
      <c r="S93" s="8"/>
      <c r="T93" s="8"/>
      <c r="U93" s="8"/>
      <c r="V93" s="8"/>
      <c r="X93" s="8"/>
      <c r="Y93" s="8"/>
      <c r="Z93" s="8"/>
      <c r="AA93" s="8"/>
      <c r="AB93" s="8"/>
      <c r="AC93" s="8"/>
      <c r="AD93" s="8"/>
      <c r="AF93" s="8"/>
      <c r="AG93" s="8"/>
      <c r="AH93" s="8"/>
      <c r="AI93" s="8"/>
      <c r="AJ93" s="8"/>
      <c r="AK93" s="8"/>
      <c r="AL93" s="8"/>
    </row>
    <row r="94" spans="2:38" x14ac:dyDescent="0.25">
      <c r="B94" s="45">
        <v>67</v>
      </c>
      <c r="C94" s="28"/>
      <c r="D94" s="65"/>
      <c r="E94" s="63"/>
      <c r="F94" s="29"/>
      <c r="G94" s="65"/>
      <c r="H94" s="46"/>
      <c r="I94" s="34"/>
      <c r="J94" s="6"/>
      <c r="K94" s="8"/>
      <c r="L94" s="8"/>
      <c r="M94" s="9"/>
      <c r="N94" s="8"/>
      <c r="O94" s="8"/>
      <c r="Q94" s="7"/>
      <c r="R94" s="8"/>
      <c r="S94" s="8"/>
      <c r="T94" s="8"/>
      <c r="U94" s="8"/>
      <c r="V94" s="8"/>
      <c r="X94" s="8"/>
      <c r="Y94" s="8"/>
      <c r="Z94" s="8"/>
      <c r="AA94" s="8"/>
      <c r="AB94" s="8"/>
      <c r="AC94" s="8"/>
      <c r="AD94" s="8"/>
      <c r="AF94" s="8"/>
      <c r="AG94" s="8"/>
      <c r="AH94" s="8"/>
      <c r="AI94" s="8"/>
      <c r="AJ94" s="8"/>
      <c r="AK94" s="8"/>
      <c r="AL94" s="8"/>
    </row>
    <row r="95" spans="2:38" x14ac:dyDescent="0.25">
      <c r="B95" s="45">
        <v>68</v>
      </c>
      <c r="C95" s="28"/>
      <c r="D95" s="65"/>
      <c r="E95" s="63"/>
      <c r="F95" s="29"/>
      <c r="G95" s="65"/>
      <c r="H95" s="46"/>
      <c r="I95" s="34"/>
      <c r="J95" s="6"/>
      <c r="K95" s="8"/>
      <c r="L95" s="8"/>
      <c r="M95" s="9"/>
      <c r="N95" s="8"/>
      <c r="O95" s="8"/>
      <c r="Q95" s="7"/>
      <c r="R95" s="8"/>
      <c r="S95" s="8"/>
      <c r="T95" s="8"/>
      <c r="U95" s="8"/>
      <c r="V95" s="8"/>
      <c r="X95" s="8"/>
      <c r="Y95" s="8"/>
      <c r="Z95" s="8"/>
      <c r="AA95" s="8"/>
      <c r="AB95" s="8"/>
      <c r="AC95" s="8"/>
      <c r="AD95" s="8"/>
      <c r="AF95" s="8"/>
      <c r="AG95" s="8"/>
      <c r="AH95" s="8"/>
      <c r="AI95" s="8"/>
      <c r="AJ95" s="8"/>
      <c r="AK95" s="8"/>
      <c r="AL95" s="8"/>
    </row>
    <row r="96" spans="2:38" x14ac:dyDescent="0.25">
      <c r="B96" s="45">
        <v>69</v>
      </c>
      <c r="C96" s="28"/>
      <c r="D96" s="65"/>
      <c r="E96" s="63"/>
      <c r="F96" s="29"/>
      <c r="G96" s="65"/>
      <c r="H96" s="46"/>
      <c r="I96" s="34"/>
      <c r="J96" s="6"/>
      <c r="K96" s="8"/>
      <c r="L96" s="8"/>
      <c r="M96" s="9"/>
      <c r="N96" s="8"/>
      <c r="O96" s="8"/>
      <c r="Q96" s="7"/>
      <c r="R96" s="8"/>
      <c r="S96" s="8"/>
      <c r="T96" s="8"/>
      <c r="U96" s="8"/>
      <c r="V96" s="8"/>
      <c r="X96" s="8"/>
      <c r="Y96" s="8"/>
      <c r="Z96" s="8"/>
      <c r="AA96" s="8"/>
      <c r="AB96" s="8"/>
      <c r="AC96" s="8"/>
      <c r="AD96" s="8"/>
      <c r="AF96" s="8"/>
      <c r="AG96" s="8"/>
      <c r="AH96" s="8"/>
      <c r="AI96" s="8"/>
      <c r="AJ96" s="8"/>
      <c r="AK96" s="8"/>
      <c r="AL96" s="8"/>
    </row>
    <row r="97" spans="2:38" x14ac:dyDescent="0.25">
      <c r="B97" s="45">
        <v>70</v>
      </c>
      <c r="C97" s="28"/>
      <c r="D97" s="65"/>
      <c r="E97" s="63"/>
      <c r="F97" s="29"/>
      <c r="G97" s="65"/>
      <c r="H97" s="46"/>
      <c r="I97" s="34"/>
      <c r="J97" s="6"/>
      <c r="K97" s="8"/>
      <c r="L97" s="8"/>
      <c r="M97" s="9"/>
      <c r="N97" s="8"/>
      <c r="O97" s="8"/>
      <c r="Q97" s="7"/>
      <c r="R97" s="8"/>
      <c r="S97" s="8"/>
      <c r="T97" s="8"/>
      <c r="U97" s="8"/>
      <c r="V97" s="8"/>
      <c r="X97" s="8"/>
      <c r="Y97" s="8"/>
      <c r="Z97" s="8"/>
      <c r="AA97" s="8"/>
      <c r="AB97" s="8"/>
      <c r="AC97" s="8"/>
      <c r="AD97" s="8"/>
      <c r="AF97" s="8"/>
      <c r="AG97" s="8"/>
      <c r="AH97" s="8"/>
      <c r="AI97" s="8"/>
      <c r="AJ97" s="8"/>
      <c r="AK97" s="8"/>
      <c r="AL97" s="8"/>
    </row>
    <row r="98" spans="2:38" x14ac:dyDescent="0.25">
      <c r="B98" s="45">
        <v>71</v>
      </c>
      <c r="C98" s="28"/>
      <c r="D98" s="65"/>
      <c r="E98" s="63"/>
      <c r="F98" s="29"/>
      <c r="G98" s="65"/>
      <c r="H98" s="46"/>
      <c r="I98" s="34"/>
      <c r="J98" s="6"/>
      <c r="K98" s="8"/>
      <c r="L98" s="8"/>
      <c r="M98" s="9"/>
      <c r="N98" s="8"/>
      <c r="O98" s="8"/>
      <c r="Q98" s="7"/>
      <c r="R98" s="8"/>
      <c r="S98" s="8"/>
      <c r="T98" s="8"/>
      <c r="U98" s="8"/>
      <c r="V98" s="8"/>
      <c r="X98" s="8"/>
      <c r="Y98" s="8"/>
      <c r="Z98" s="8"/>
      <c r="AA98" s="8"/>
      <c r="AB98" s="8"/>
      <c r="AC98" s="8"/>
      <c r="AD98" s="8"/>
      <c r="AF98" s="8"/>
      <c r="AG98" s="8"/>
      <c r="AH98" s="8"/>
      <c r="AI98" s="8"/>
      <c r="AJ98" s="8"/>
      <c r="AK98" s="8"/>
      <c r="AL98" s="8"/>
    </row>
    <row r="99" spans="2:38" x14ac:dyDescent="0.25">
      <c r="B99" s="45">
        <v>72</v>
      </c>
      <c r="C99" s="28"/>
      <c r="D99" s="65"/>
      <c r="E99" s="63"/>
      <c r="F99" s="29"/>
      <c r="G99" s="65"/>
      <c r="H99" s="46"/>
      <c r="I99" s="34"/>
      <c r="J99" s="6"/>
      <c r="K99" s="8"/>
      <c r="L99" s="8"/>
      <c r="M99" s="9"/>
      <c r="N99" s="8"/>
      <c r="O99" s="8"/>
      <c r="Q99" s="7"/>
      <c r="R99" s="8"/>
      <c r="S99" s="8"/>
      <c r="T99" s="8"/>
      <c r="U99" s="8"/>
      <c r="V99" s="8"/>
      <c r="X99" s="8"/>
      <c r="Y99" s="8"/>
      <c r="Z99" s="8"/>
      <c r="AA99" s="8"/>
      <c r="AB99" s="8"/>
      <c r="AC99" s="8"/>
      <c r="AD99" s="8"/>
      <c r="AF99" s="8"/>
      <c r="AG99" s="8"/>
      <c r="AH99" s="8"/>
      <c r="AI99" s="8"/>
      <c r="AJ99" s="8"/>
      <c r="AK99" s="8"/>
      <c r="AL99" s="8"/>
    </row>
    <row r="100" spans="2:38" x14ac:dyDescent="0.25">
      <c r="B100" s="45">
        <v>73</v>
      </c>
      <c r="C100" s="28"/>
      <c r="D100" s="65"/>
      <c r="E100" s="63"/>
      <c r="F100" s="29"/>
      <c r="G100" s="65"/>
      <c r="H100" s="46"/>
      <c r="I100" s="34"/>
      <c r="J100" s="6"/>
      <c r="K100" s="8"/>
      <c r="L100" s="8"/>
      <c r="M100" s="9"/>
      <c r="N100" s="8"/>
      <c r="O100" s="8"/>
      <c r="Q100" s="7"/>
      <c r="R100" s="8"/>
      <c r="S100" s="8"/>
      <c r="T100" s="8"/>
      <c r="U100" s="8"/>
      <c r="V100" s="8"/>
      <c r="X100" s="8"/>
      <c r="Y100" s="8"/>
      <c r="Z100" s="8"/>
      <c r="AA100" s="8"/>
      <c r="AB100" s="8"/>
      <c r="AC100" s="8"/>
      <c r="AD100" s="8"/>
      <c r="AF100" s="8"/>
      <c r="AG100" s="8"/>
      <c r="AH100" s="8"/>
      <c r="AI100" s="8"/>
      <c r="AJ100" s="8"/>
      <c r="AK100" s="8"/>
      <c r="AL100" s="8"/>
    </row>
    <row r="101" spans="2:38" x14ac:dyDescent="0.25">
      <c r="B101" s="45">
        <v>74</v>
      </c>
      <c r="C101" s="28"/>
      <c r="D101" s="65"/>
      <c r="E101" s="63"/>
      <c r="F101" s="29"/>
      <c r="G101" s="65"/>
      <c r="H101" s="46"/>
      <c r="I101" s="34"/>
      <c r="J101" s="6"/>
      <c r="K101" s="8"/>
      <c r="L101" s="8"/>
      <c r="M101" s="9"/>
      <c r="N101" s="8"/>
      <c r="O101" s="8"/>
      <c r="Q101" s="7"/>
      <c r="R101" s="8"/>
      <c r="S101" s="8"/>
      <c r="T101" s="8"/>
      <c r="U101" s="8"/>
      <c r="V101" s="8"/>
      <c r="X101" s="8"/>
      <c r="Y101" s="8"/>
      <c r="Z101" s="8"/>
      <c r="AA101" s="8"/>
      <c r="AB101" s="8"/>
      <c r="AC101" s="8"/>
      <c r="AD101" s="8"/>
      <c r="AF101" s="8"/>
      <c r="AG101" s="8"/>
      <c r="AH101" s="8"/>
      <c r="AI101" s="8"/>
      <c r="AJ101" s="8"/>
      <c r="AK101" s="8"/>
      <c r="AL101" s="8"/>
    </row>
    <row r="102" spans="2:38" x14ac:dyDescent="0.25">
      <c r="B102" s="45">
        <v>75</v>
      </c>
      <c r="C102" s="28"/>
      <c r="D102" s="65"/>
      <c r="E102" s="63"/>
      <c r="F102" s="29"/>
      <c r="G102" s="65"/>
      <c r="H102" s="46"/>
      <c r="I102" s="34"/>
      <c r="J102" s="6"/>
      <c r="K102" s="8"/>
      <c r="L102" s="8"/>
      <c r="M102" s="9"/>
      <c r="N102" s="8"/>
      <c r="O102" s="8"/>
      <c r="Q102" s="7"/>
      <c r="R102" s="8"/>
      <c r="S102" s="8"/>
      <c r="T102" s="8"/>
      <c r="U102" s="8"/>
      <c r="V102" s="8"/>
      <c r="X102" s="8"/>
      <c r="Y102" s="8"/>
      <c r="Z102" s="8"/>
      <c r="AA102" s="8"/>
      <c r="AB102" s="8"/>
      <c r="AC102" s="8"/>
      <c r="AD102" s="8"/>
      <c r="AF102" s="8"/>
      <c r="AG102" s="8"/>
      <c r="AH102" s="8"/>
      <c r="AI102" s="8"/>
      <c r="AJ102" s="8"/>
      <c r="AK102" s="8"/>
      <c r="AL102" s="8"/>
    </row>
    <row r="103" spans="2:38" x14ac:dyDescent="0.25">
      <c r="B103" s="45">
        <v>76</v>
      </c>
      <c r="C103" s="28"/>
      <c r="D103" s="65"/>
      <c r="E103" s="63"/>
      <c r="F103" s="29"/>
      <c r="G103" s="65"/>
      <c r="H103" s="46"/>
      <c r="I103" s="34"/>
      <c r="J103" s="6"/>
      <c r="K103" s="8"/>
      <c r="L103" s="8"/>
      <c r="M103" s="9"/>
      <c r="N103" s="8"/>
      <c r="O103" s="8"/>
      <c r="Q103" s="7"/>
      <c r="R103" s="8"/>
      <c r="S103" s="8"/>
      <c r="T103" s="8"/>
      <c r="U103" s="8"/>
      <c r="V103" s="8"/>
      <c r="X103" s="8"/>
      <c r="Y103" s="8"/>
      <c r="Z103" s="8"/>
      <c r="AA103" s="8"/>
      <c r="AB103" s="8"/>
      <c r="AC103" s="8"/>
      <c r="AD103" s="8"/>
      <c r="AF103" s="8"/>
      <c r="AG103" s="8"/>
      <c r="AH103" s="8"/>
      <c r="AI103" s="8"/>
      <c r="AJ103" s="8"/>
      <c r="AK103" s="8"/>
      <c r="AL103" s="8"/>
    </row>
    <row r="104" spans="2:38" x14ac:dyDescent="0.25">
      <c r="B104" s="45">
        <v>77</v>
      </c>
      <c r="C104" s="28"/>
      <c r="D104" s="65"/>
      <c r="E104" s="63"/>
      <c r="F104" s="29"/>
      <c r="G104" s="65"/>
      <c r="H104" s="46"/>
      <c r="I104" s="34"/>
      <c r="J104" s="6"/>
      <c r="K104" s="8"/>
      <c r="L104" s="8"/>
      <c r="M104" s="9"/>
      <c r="N104" s="8"/>
      <c r="O104" s="8"/>
      <c r="Q104" s="7"/>
      <c r="R104" s="8"/>
      <c r="S104" s="8"/>
      <c r="T104" s="8"/>
      <c r="U104" s="8"/>
      <c r="V104" s="8"/>
      <c r="X104" s="8"/>
      <c r="Y104" s="8"/>
      <c r="Z104" s="8"/>
      <c r="AA104" s="8"/>
      <c r="AB104" s="8"/>
      <c r="AC104" s="8"/>
      <c r="AD104" s="8"/>
      <c r="AF104" s="8"/>
      <c r="AG104" s="8"/>
      <c r="AH104" s="8"/>
      <c r="AI104" s="8"/>
      <c r="AJ104" s="8"/>
      <c r="AK104" s="8"/>
      <c r="AL104" s="8"/>
    </row>
    <row r="105" spans="2:38" x14ac:dyDescent="0.25">
      <c r="B105" s="45">
        <v>78</v>
      </c>
      <c r="C105" s="28"/>
      <c r="D105" s="65"/>
      <c r="E105" s="63"/>
      <c r="F105" s="29"/>
      <c r="G105" s="65"/>
      <c r="H105" s="46"/>
      <c r="I105" s="34"/>
      <c r="J105" s="6"/>
      <c r="K105" s="8"/>
      <c r="L105" s="8"/>
      <c r="M105" s="9"/>
      <c r="N105" s="8"/>
      <c r="O105" s="8"/>
      <c r="Q105" s="7"/>
      <c r="R105" s="8"/>
      <c r="S105" s="8"/>
      <c r="T105" s="8"/>
      <c r="U105" s="8"/>
      <c r="V105" s="8"/>
      <c r="X105" s="8"/>
      <c r="Y105" s="8"/>
      <c r="Z105" s="8"/>
      <c r="AA105" s="8"/>
      <c r="AB105" s="8"/>
      <c r="AC105" s="8"/>
      <c r="AD105" s="8"/>
      <c r="AF105" s="8"/>
      <c r="AG105" s="8"/>
      <c r="AH105" s="8"/>
      <c r="AI105" s="8"/>
      <c r="AJ105" s="8"/>
      <c r="AK105" s="8"/>
      <c r="AL105" s="8"/>
    </row>
    <row r="106" spans="2:38" x14ac:dyDescent="0.25">
      <c r="B106" s="45">
        <v>79</v>
      </c>
      <c r="C106" s="28"/>
      <c r="D106" s="65"/>
      <c r="E106" s="63"/>
      <c r="F106" s="29"/>
      <c r="G106" s="65"/>
      <c r="H106" s="46"/>
      <c r="I106" s="34"/>
      <c r="J106" s="6"/>
      <c r="K106" s="8"/>
      <c r="L106" s="8"/>
      <c r="M106" s="9"/>
      <c r="N106" s="8"/>
      <c r="O106" s="8"/>
      <c r="Q106" s="7"/>
      <c r="R106" s="8"/>
      <c r="S106" s="8"/>
      <c r="T106" s="8"/>
      <c r="U106" s="8"/>
      <c r="V106" s="8"/>
      <c r="X106" s="8"/>
      <c r="Y106" s="8"/>
      <c r="Z106" s="8"/>
      <c r="AA106" s="8"/>
      <c r="AB106" s="8"/>
      <c r="AC106" s="8"/>
      <c r="AD106" s="8"/>
      <c r="AF106" s="8"/>
      <c r="AG106" s="8"/>
      <c r="AH106" s="8"/>
      <c r="AI106" s="8"/>
      <c r="AJ106" s="8"/>
      <c r="AK106" s="8"/>
      <c r="AL106" s="8"/>
    </row>
    <row r="107" spans="2:38" x14ac:dyDescent="0.25">
      <c r="B107" s="45">
        <v>80</v>
      </c>
      <c r="C107" s="28"/>
      <c r="D107" s="65"/>
      <c r="E107" s="63"/>
      <c r="F107" s="29"/>
      <c r="G107" s="65"/>
      <c r="H107" s="46"/>
      <c r="I107" s="34"/>
      <c r="J107" s="6"/>
      <c r="K107" s="8"/>
      <c r="L107" s="8"/>
      <c r="M107" s="9"/>
      <c r="N107" s="8"/>
      <c r="O107" s="8"/>
      <c r="Q107" s="7"/>
      <c r="R107" s="8"/>
      <c r="S107" s="8"/>
      <c r="T107" s="8"/>
      <c r="U107" s="8"/>
      <c r="V107" s="8"/>
      <c r="X107" s="8"/>
      <c r="Y107" s="8"/>
      <c r="Z107" s="8"/>
      <c r="AA107" s="8"/>
      <c r="AB107" s="8"/>
      <c r="AC107" s="8"/>
      <c r="AD107" s="8"/>
      <c r="AF107" s="8"/>
      <c r="AG107" s="8"/>
      <c r="AH107" s="8"/>
      <c r="AI107" s="8"/>
      <c r="AJ107" s="8"/>
      <c r="AK107" s="8"/>
      <c r="AL107" s="8"/>
    </row>
    <row r="108" spans="2:38" x14ac:dyDescent="0.25">
      <c r="B108" s="45">
        <v>81</v>
      </c>
      <c r="C108" s="28"/>
      <c r="D108" s="65"/>
      <c r="E108" s="63"/>
      <c r="F108" s="29"/>
      <c r="G108" s="65"/>
      <c r="H108" s="46"/>
      <c r="I108" s="34"/>
      <c r="J108" s="6"/>
      <c r="K108" s="8"/>
      <c r="L108" s="8"/>
      <c r="M108" s="9"/>
      <c r="N108" s="8"/>
      <c r="O108" s="8"/>
      <c r="Q108" s="7"/>
      <c r="R108" s="8"/>
      <c r="S108" s="8"/>
      <c r="T108" s="8"/>
      <c r="U108" s="8"/>
      <c r="V108" s="8"/>
      <c r="X108" s="8"/>
      <c r="Y108" s="8"/>
      <c r="Z108" s="8"/>
      <c r="AA108" s="8"/>
      <c r="AB108" s="8"/>
      <c r="AC108" s="8"/>
      <c r="AD108" s="8"/>
      <c r="AF108" s="8"/>
      <c r="AG108" s="8"/>
      <c r="AH108" s="8"/>
      <c r="AI108" s="8"/>
      <c r="AJ108" s="8"/>
      <c r="AK108" s="8"/>
      <c r="AL108" s="8"/>
    </row>
    <row r="109" spans="2:38" x14ac:dyDescent="0.25">
      <c r="B109" s="45">
        <v>82</v>
      </c>
      <c r="C109" s="28"/>
      <c r="D109" s="65"/>
      <c r="E109" s="63"/>
      <c r="F109" s="29"/>
      <c r="G109" s="65"/>
      <c r="H109" s="46"/>
      <c r="I109" s="34"/>
      <c r="J109" s="7" t="s">
        <v>3</v>
      </c>
      <c r="K109" s="8"/>
      <c r="L109" s="8"/>
      <c r="M109" s="8"/>
      <c r="N109" s="8"/>
      <c r="O109" s="8"/>
      <c r="Q109" s="6" t="s">
        <v>3</v>
      </c>
      <c r="R109" s="8"/>
      <c r="S109" s="8"/>
      <c r="T109" s="8"/>
      <c r="U109" s="9">
        <v>1</v>
      </c>
      <c r="V109" s="8"/>
      <c r="X109" s="8" t="s">
        <v>2</v>
      </c>
      <c r="Y109" s="8"/>
      <c r="Z109" s="8"/>
      <c r="AA109" s="8"/>
      <c r="AB109" s="8"/>
      <c r="AC109" s="8"/>
      <c r="AD109" s="8"/>
      <c r="AF109" s="8" t="s">
        <v>2</v>
      </c>
      <c r="AG109" s="8"/>
      <c r="AH109" s="8"/>
      <c r="AI109" s="8"/>
      <c r="AJ109" s="8"/>
      <c r="AK109" s="8"/>
      <c r="AL109" s="8"/>
    </row>
    <row r="110" spans="2:38" x14ac:dyDescent="0.25">
      <c r="B110" s="45">
        <v>83</v>
      </c>
      <c r="C110" s="28"/>
      <c r="D110" s="65"/>
      <c r="E110" s="63"/>
      <c r="F110" s="29"/>
      <c r="G110" s="65"/>
      <c r="H110" s="46"/>
      <c r="I110" s="34"/>
      <c r="J110" s="7" t="s">
        <v>4</v>
      </c>
      <c r="K110" s="8"/>
      <c r="L110" s="8"/>
      <c r="M110" s="8"/>
      <c r="N110" s="8"/>
      <c r="O110" s="8"/>
      <c r="Q110" s="7" t="s">
        <v>4</v>
      </c>
      <c r="R110" s="8"/>
      <c r="S110" s="8"/>
      <c r="T110" s="8"/>
      <c r="U110" s="8"/>
      <c r="V110" s="8"/>
      <c r="X110" s="33" t="s">
        <v>3</v>
      </c>
      <c r="Y110" s="8"/>
      <c r="Z110" s="8"/>
      <c r="AA110" s="8"/>
      <c r="AB110" s="33">
        <v>1</v>
      </c>
      <c r="AC110" s="33">
        <f>(AK35-AJ34*AK34)/SQRT((1-AJ34^2)*(1-AK34^2))</f>
        <v>-0.67261998419402846</v>
      </c>
      <c r="AD110" s="33">
        <f>(AL35-AJ34*AL34)/SQRT((1-AJ34^2)*(1-AL34^2))</f>
        <v>-0.76318987632852697</v>
      </c>
      <c r="AF110" s="8" t="s">
        <v>3</v>
      </c>
      <c r="AG110" s="8"/>
      <c r="AH110" s="8"/>
      <c r="AI110" s="8"/>
      <c r="AJ110" s="8"/>
      <c r="AK110" s="8"/>
      <c r="AL110" s="8"/>
    </row>
    <row r="111" spans="2:38" x14ac:dyDescent="0.25">
      <c r="B111" s="45">
        <v>84</v>
      </c>
      <c r="C111" s="28"/>
      <c r="D111" s="65"/>
      <c r="E111" s="63"/>
      <c r="F111" s="29"/>
      <c r="G111" s="65"/>
      <c r="H111" s="46"/>
      <c r="I111" s="34"/>
      <c r="X111" s="9" t="s">
        <v>4</v>
      </c>
      <c r="Y111" s="8"/>
      <c r="Z111" s="8"/>
      <c r="AA111" s="8"/>
      <c r="AB111" s="8"/>
      <c r="AC111" s="33">
        <v>1</v>
      </c>
      <c r="AD111" s="33">
        <f>(AL36-AK34*AL34)/SQRT((1-AK34^2)*(1-AL34^2))</f>
        <v>0.63395169736515222</v>
      </c>
      <c r="AF111" s="9" t="s">
        <v>4</v>
      </c>
      <c r="AG111" s="8"/>
      <c r="AH111" s="8"/>
      <c r="AI111" s="8"/>
      <c r="AJ111" s="8"/>
      <c r="AK111" s="33">
        <v>1</v>
      </c>
      <c r="AL111" s="8"/>
    </row>
    <row r="112" spans="2:38" x14ac:dyDescent="0.25">
      <c r="B112" s="45">
        <v>85</v>
      </c>
      <c r="C112" s="28"/>
      <c r="D112" s="65"/>
      <c r="E112" s="63"/>
      <c r="F112" s="29"/>
      <c r="G112" s="65"/>
      <c r="H112" s="46"/>
      <c r="I112" s="34"/>
      <c r="J112" s="130" t="s">
        <v>27</v>
      </c>
      <c r="K112" s="131"/>
      <c r="L112" s="131"/>
      <c r="M112" s="131"/>
      <c r="N112" s="131"/>
      <c r="O112" s="132"/>
      <c r="Q112" s="130" t="s">
        <v>27</v>
      </c>
      <c r="R112" s="131"/>
      <c r="S112" s="131"/>
      <c r="T112" s="131"/>
      <c r="U112" s="131"/>
      <c r="V112" s="132"/>
      <c r="X112" s="9" t="s">
        <v>10</v>
      </c>
      <c r="Y112" s="8"/>
      <c r="Z112" s="8"/>
      <c r="AA112" s="8"/>
      <c r="AB112" s="8"/>
      <c r="AC112" s="8"/>
      <c r="AD112" s="9">
        <v>1</v>
      </c>
      <c r="AF112" s="8" t="s">
        <v>10</v>
      </c>
      <c r="AG112" s="8"/>
      <c r="AH112" s="8"/>
      <c r="AI112" s="8"/>
      <c r="AJ112" s="8"/>
      <c r="AK112" s="8"/>
      <c r="AL112" s="8"/>
    </row>
    <row r="113" spans="2:38" x14ac:dyDescent="0.25">
      <c r="B113" s="45">
        <v>86</v>
      </c>
      <c r="C113" s="28"/>
      <c r="D113" s="65"/>
      <c r="E113" s="63"/>
      <c r="F113" s="29"/>
      <c r="G113" s="65"/>
      <c r="H113" s="46"/>
      <c r="I113" s="34"/>
      <c r="J113" s="37" t="s">
        <v>8</v>
      </c>
      <c r="K113" s="37" t="s">
        <v>11</v>
      </c>
      <c r="L113" s="37" t="s">
        <v>1</v>
      </c>
      <c r="M113" s="36" t="s">
        <v>2</v>
      </c>
      <c r="N113" s="7" t="s">
        <v>3</v>
      </c>
      <c r="O113" s="7" t="s">
        <v>4</v>
      </c>
      <c r="Q113" s="37" t="s">
        <v>8</v>
      </c>
      <c r="R113" s="37" t="s">
        <v>11</v>
      </c>
      <c r="S113" s="25" t="s">
        <v>1</v>
      </c>
      <c r="T113" s="5" t="s">
        <v>2</v>
      </c>
      <c r="U113" s="7" t="s">
        <v>3</v>
      </c>
      <c r="V113" s="7" t="s">
        <v>4</v>
      </c>
    </row>
    <row r="114" spans="2:38" x14ac:dyDescent="0.25">
      <c r="B114" s="45">
        <v>87</v>
      </c>
      <c r="C114" s="28"/>
      <c r="D114" s="65"/>
      <c r="E114" s="63"/>
      <c r="F114" s="29"/>
      <c r="G114" s="65"/>
      <c r="H114" s="46"/>
      <c r="I114" s="34"/>
      <c r="J114" s="6" t="s">
        <v>11</v>
      </c>
      <c r="K114" s="9">
        <v>1</v>
      </c>
      <c r="L114" s="33">
        <f>(L67-M67*M68)/SQRT((1-M68^2)*(1-M67^2))</f>
        <v>2.4506734474465618E-4</v>
      </c>
      <c r="M114" s="8"/>
      <c r="N114" s="8"/>
      <c r="O114" s="8"/>
      <c r="Q114" s="6" t="s">
        <v>11</v>
      </c>
      <c r="R114" s="9">
        <v>1</v>
      </c>
      <c r="S114" s="8"/>
      <c r="T114" s="33">
        <f>(M67-L67*M68)/SQRT((1-M68^2)*(1-L67^2))</f>
        <v>-0.99708372868490847</v>
      </c>
      <c r="U114" s="8"/>
      <c r="V114" s="8"/>
      <c r="X114" s="144" t="s">
        <v>24</v>
      </c>
      <c r="Y114" s="145"/>
      <c r="Z114" s="145"/>
      <c r="AA114" s="145"/>
      <c r="AB114" s="145"/>
      <c r="AC114" s="145"/>
      <c r="AD114" s="146"/>
      <c r="AF114" s="144" t="s">
        <v>23</v>
      </c>
      <c r="AG114" s="145"/>
      <c r="AH114" s="145"/>
      <c r="AI114" s="145"/>
      <c r="AJ114" s="145"/>
      <c r="AK114" s="145"/>
      <c r="AL114" s="146"/>
    </row>
    <row r="115" spans="2:38" x14ac:dyDescent="0.25">
      <c r="B115" s="45">
        <v>88</v>
      </c>
      <c r="C115" s="28"/>
      <c r="D115" s="65"/>
      <c r="E115" s="63"/>
      <c r="F115" s="29"/>
      <c r="G115" s="65"/>
      <c r="H115" s="46"/>
      <c r="I115" s="34"/>
      <c r="J115" s="6"/>
      <c r="K115" s="9"/>
      <c r="L115" s="33"/>
      <c r="M115" s="8"/>
      <c r="N115" s="8"/>
      <c r="O115" s="8"/>
      <c r="Q115" s="6"/>
      <c r="R115" s="9"/>
      <c r="S115" s="8"/>
      <c r="T115" s="33"/>
      <c r="U115" s="8"/>
      <c r="V115" s="8"/>
      <c r="X115" s="72"/>
      <c r="Y115" s="73"/>
      <c r="Z115" s="73"/>
      <c r="AA115" s="73"/>
      <c r="AB115" s="73"/>
      <c r="AC115" s="73"/>
      <c r="AD115" s="74"/>
      <c r="AF115" s="72"/>
      <c r="AG115" s="73"/>
      <c r="AH115" s="73"/>
      <c r="AI115" s="73"/>
      <c r="AJ115" s="73"/>
      <c r="AK115" s="73"/>
      <c r="AL115" s="74"/>
    </row>
    <row r="116" spans="2:38" x14ac:dyDescent="0.25">
      <c r="B116" s="45">
        <v>89</v>
      </c>
      <c r="C116" s="28"/>
      <c r="D116" s="65"/>
      <c r="E116" s="63"/>
      <c r="F116" s="29"/>
      <c r="G116" s="65"/>
      <c r="H116" s="46"/>
      <c r="I116" s="34"/>
      <c r="J116" s="6" t="s">
        <v>1</v>
      </c>
      <c r="K116" s="8"/>
      <c r="L116" s="9">
        <v>1</v>
      </c>
      <c r="M116" s="8"/>
      <c r="N116" s="8"/>
      <c r="O116" s="8"/>
      <c r="Q116" s="7" t="s">
        <v>1</v>
      </c>
      <c r="R116" s="8"/>
      <c r="S116" s="8"/>
      <c r="T116" s="8"/>
      <c r="U116" s="8"/>
      <c r="V116" s="8"/>
      <c r="X116" s="17" t="s">
        <v>8</v>
      </c>
      <c r="Y116" s="17" t="s">
        <v>11</v>
      </c>
      <c r="Z116" s="7" t="s">
        <v>1</v>
      </c>
      <c r="AA116" s="7" t="s">
        <v>2</v>
      </c>
      <c r="AB116" s="7" t="s">
        <v>3</v>
      </c>
      <c r="AC116" s="17" t="s">
        <v>4</v>
      </c>
      <c r="AD116" s="6" t="s">
        <v>10</v>
      </c>
      <c r="AF116" s="17" t="s">
        <v>8</v>
      </c>
      <c r="AG116" s="17" t="s">
        <v>11</v>
      </c>
      <c r="AH116" s="7" t="s">
        <v>1</v>
      </c>
      <c r="AI116" s="7" t="s">
        <v>2</v>
      </c>
      <c r="AJ116" s="17" t="s">
        <v>3</v>
      </c>
      <c r="AK116" s="17" t="s">
        <v>4</v>
      </c>
      <c r="AL116" s="7" t="s">
        <v>10</v>
      </c>
    </row>
    <row r="117" spans="2:38" x14ac:dyDescent="0.25">
      <c r="B117" s="45">
        <v>90</v>
      </c>
      <c r="C117" s="28"/>
      <c r="D117" s="65"/>
      <c r="E117" s="63"/>
      <c r="F117" s="29"/>
      <c r="G117" s="65"/>
      <c r="H117" s="46"/>
      <c r="I117" s="34"/>
      <c r="J117" s="7" t="s">
        <v>2</v>
      </c>
      <c r="K117" s="8"/>
      <c r="L117" s="8"/>
      <c r="M117" s="8"/>
      <c r="N117" s="8"/>
      <c r="O117" s="8"/>
      <c r="Q117" s="6" t="s">
        <v>2</v>
      </c>
      <c r="R117" s="8"/>
      <c r="S117" s="8"/>
      <c r="T117" s="9">
        <v>1</v>
      </c>
      <c r="U117" s="8"/>
      <c r="V117" s="8"/>
      <c r="X117" s="33" t="s">
        <v>11</v>
      </c>
      <c r="Y117" s="33">
        <v>1</v>
      </c>
      <c r="Z117" s="8"/>
      <c r="AA117" s="8"/>
      <c r="AB117" s="8"/>
      <c r="AC117" s="33">
        <f>(AC68-AB68*AC110)/SQRT((1-AB68^2)*(1-AC110^2))</f>
        <v>3.5836871617032431E-2</v>
      </c>
      <c r="AD117" s="33">
        <f>(AD68-AB68*AD110)/SQRT((1-AB68^2)*(1-AD110^2))</f>
        <v>-5.9577260483178358E-2</v>
      </c>
      <c r="AF117" s="33" t="s">
        <v>11</v>
      </c>
      <c r="AG117" s="33">
        <v>1</v>
      </c>
      <c r="AH117" s="8"/>
      <c r="AI117" s="8"/>
      <c r="AJ117" s="33">
        <f>(AB68-AD68*AD110)/SQRT((1-AD68^2)*(1-AD110^2))</f>
        <v>-7.3608926304321476E-2</v>
      </c>
      <c r="AK117" s="33">
        <f>(AC68-AD68*AD111)/SQRT((1-AD68^2)*(1-AD111^2))</f>
        <v>7.6432438281075113E-2</v>
      </c>
      <c r="AL117" s="8"/>
    </row>
    <row r="118" spans="2:38" x14ac:dyDescent="0.25">
      <c r="B118" s="45">
        <v>91</v>
      </c>
      <c r="C118" s="28"/>
      <c r="D118" s="65"/>
      <c r="E118" s="63"/>
      <c r="F118" s="29"/>
      <c r="G118" s="65"/>
      <c r="H118" s="46"/>
      <c r="I118" s="34"/>
      <c r="J118" s="7" t="s">
        <v>3</v>
      </c>
      <c r="K118" s="8"/>
      <c r="L118" s="8"/>
      <c r="M118" s="8"/>
      <c r="N118" s="8"/>
      <c r="O118" s="8"/>
      <c r="Q118" s="7" t="s">
        <v>3</v>
      </c>
      <c r="R118" s="8"/>
      <c r="S118" s="8"/>
      <c r="T118" s="8"/>
      <c r="U118" s="8"/>
      <c r="V118" s="8"/>
      <c r="X118" s="8" t="s">
        <v>1</v>
      </c>
      <c r="Y118" s="8"/>
      <c r="Z118" s="8"/>
      <c r="AA118" s="8"/>
      <c r="AB118" s="8"/>
      <c r="AC118" s="8"/>
      <c r="AD118" s="8"/>
      <c r="AF118" s="8" t="s">
        <v>1</v>
      </c>
      <c r="AG118" s="8"/>
      <c r="AH118" s="8"/>
      <c r="AI118" s="8"/>
      <c r="AJ118" s="8"/>
      <c r="AK118" s="8"/>
      <c r="AL118" s="8"/>
    </row>
    <row r="119" spans="2:38" x14ac:dyDescent="0.25">
      <c r="B119" s="45">
        <v>92</v>
      </c>
      <c r="C119" s="28"/>
      <c r="D119" s="65"/>
      <c r="E119" s="63"/>
      <c r="F119" s="29"/>
      <c r="G119" s="65"/>
      <c r="H119" s="46"/>
      <c r="I119" s="34"/>
      <c r="J119" s="7" t="s">
        <v>4</v>
      </c>
      <c r="K119" s="8"/>
      <c r="L119" s="8"/>
      <c r="M119" s="8"/>
      <c r="N119" s="8"/>
      <c r="O119" s="8"/>
      <c r="Q119" s="7" t="s">
        <v>4</v>
      </c>
      <c r="R119" s="8"/>
      <c r="S119" s="8"/>
      <c r="T119" s="8"/>
      <c r="U119" s="8"/>
      <c r="V119" s="8"/>
      <c r="X119" s="8" t="s">
        <v>2</v>
      </c>
      <c r="Y119" s="8"/>
      <c r="Z119" s="8"/>
      <c r="AA119" s="8"/>
      <c r="AB119" s="8"/>
      <c r="AC119" s="8"/>
      <c r="AD119" s="8"/>
      <c r="AF119" s="8" t="s">
        <v>2</v>
      </c>
      <c r="AG119" s="8"/>
      <c r="AH119" s="8"/>
      <c r="AI119" s="8"/>
      <c r="AJ119" s="8"/>
      <c r="AK119" s="8"/>
      <c r="AL119" s="8"/>
    </row>
    <row r="120" spans="2:38" x14ac:dyDescent="0.25">
      <c r="B120" s="45">
        <v>93</v>
      </c>
      <c r="C120" s="28"/>
      <c r="D120" s="65"/>
      <c r="E120" s="63"/>
      <c r="F120" s="29"/>
      <c r="G120" s="65"/>
      <c r="H120" s="46"/>
      <c r="I120" s="34"/>
      <c r="X120" s="8" t="s">
        <v>3</v>
      </c>
      <c r="Y120" s="8"/>
      <c r="Z120" s="8"/>
      <c r="AA120" s="8"/>
      <c r="AB120" s="8"/>
      <c r="AC120" s="8"/>
      <c r="AD120" s="8"/>
      <c r="AF120" s="33" t="s">
        <v>3</v>
      </c>
      <c r="AG120" s="8"/>
      <c r="AH120" s="8"/>
      <c r="AI120" s="8"/>
      <c r="AJ120" s="33">
        <v>1</v>
      </c>
      <c r="AK120" s="33">
        <f>(AC110-AD110*AD111)/SQRT((1-AD110^2)*(1-AD111^2))</f>
        <v>-0.37779028163997525</v>
      </c>
      <c r="AL120" s="8"/>
    </row>
    <row r="121" spans="2:38" x14ac:dyDescent="0.25">
      <c r="B121" s="45">
        <v>94</v>
      </c>
      <c r="C121" s="28"/>
      <c r="D121" s="65"/>
      <c r="E121" s="63"/>
      <c r="F121" s="29"/>
      <c r="G121" s="65"/>
      <c r="H121" s="46"/>
      <c r="I121" s="34"/>
      <c r="J121" s="147" t="s">
        <v>27</v>
      </c>
      <c r="K121" s="147"/>
      <c r="L121" s="147"/>
      <c r="M121" s="147"/>
      <c r="N121" s="147"/>
      <c r="O121" s="147"/>
      <c r="Q121" s="130" t="s">
        <v>27</v>
      </c>
      <c r="R121" s="131"/>
      <c r="S121" s="131"/>
      <c r="T121" s="131"/>
      <c r="U121" s="131"/>
      <c r="V121" s="132"/>
      <c r="X121" s="9" t="s">
        <v>4</v>
      </c>
      <c r="Y121" s="8"/>
      <c r="Z121" s="8"/>
      <c r="AA121" s="8"/>
      <c r="AB121" s="8"/>
      <c r="AC121" s="33">
        <v>1</v>
      </c>
      <c r="AD121" s="33">
        <f>(AD111-AC110*AD110)/SQRT((1-AC110^2)*(1-AD110^2))</f>
        <v>0.25224739447705985</v>
      </c>
      <c r="AF121" s="9" t="s">
        <v>4</v>
      </c>
      <c r="AG121" s="8"/>
      <c r="AH121" s="8"/>
      <c r="AI121" s="8"/>
      <c r="AJ121" s="8"/>
      <c r="AK121" s="33">
        <v>1</v>
      </c>
      <c r="AL121" s="8"/>
    </row>
    <row r="122" spans="2:38" x14ac:dyDescent="0.25">
      <c r="B122" s="45">
        <v>95</v>
      </c>
      <c r="C122" s="28"/>
      <c r="D122" s="65"/>
      <c r="E122" s="63"/>
      <c r="F122" s="29"/>
      <c r="G122" s="65"/>
      <c r="H122" s="46"/>
      <c r="I122" s="34"/>
      <c r="J122" s="6" t="s">
        <v>8</v>
      </c>
      <c r="K122" s="6" t="s">
        <v>11</v>
      </c>
      <c r="L122" s="7" t="s">
        <v>1</v>
      </c>
      <c r="M122" s="6" t="s">
        <v>2</v>
      </c>
      <c r="N122" s="6" t="s">
        <v>3</v>
      </c>
      <c r="O122" s="6" t="s">
        <v>4</v>
      </c>
      <c r="Q122" s="37" t="s">
        <v>8</v>
      </c>
      <c r="R122" s="37" t="s">
        <v>11</v>
      </c>
      <c r="S122" s="25" t="s">
        <v>1</v>
      </c>
      <c r="T122" s="36" t="s">
        <v>2</v>
      </c>
      <c r="U122" s="43" t="s">
        <v>3</v>
      </c>
      <c r="V122" s="7" t="s">
        <v>4</v>
      </c>
      <c r="X122" s="9" t="s">
        <v>10</v>
      </c>
      <c r="Y122" s="8"/>
      <c r="Z122" s="8"/>
      <c r="AA122" s="8"/>
      <c r="AB122" s="8"/>
      <c r="AC122" s="8"/>
      <c r="AD122" s="9">
        <v>1</v>
      </c>
      <c r="AF122" s="8" t="s">
        <v>10</v>
      </c>
      <c r="AG122" s="8"/>
      <c r="AH122" s="8"/>
      <c r="AI122" s="8"/>
      <c r="AJ122" s="8"/>
      <c r="AK122" s="8"/>
      <c r="AL122" s="8"/>
    </row>
    <row r="123" spans="2:38" x14ac:dyDescent="0.25">
      <c r="B123" s="45">
        <v>96</v>
      </c>
      <c r="C123" s="28"/>
      <c r="D123" s="65"/>
      <c r="E123" s="63"/>
      <c r="F123" s="29"/>
      <c r="G123" s="65"/>
      <c r="H123" s="46"/>
      <c r="I123" s="34"/>
      <c r="J123" s="6" t="s">
        <v>11</v>
      </c>
      <c r="K123" s="9">
        <v>1</v>
      </c>
      <c r="L123" s="8"/>
      <c r="M123" s="33">
        <f>(E4-D4*E5)/SQRT((1-E5^2)*(1-D4^2))</f>
        <v>-0.99998978837050456</v>
      </c>
      <c r="N123" s="33">
        <f>(F4-D4*F5)/SQRT((1-F5^2)*(1-D4^2))</f>
        <v>0.92799980586255015</v>
      </c>
      <c r="O123" s="33">
        <f>(G4-D4*G5)/SQRT((1-G5^2)*(1-D4^2))</f>
        <v>0.99566624797692993</v>
      </c>
      <c r="Q123" s="6" t="s">
        <v>11</v>
      </c>
      <c r="R123" s="9">
        <v>1</v>
      </c>
      <c r="S123" s="8"/>
      <c r="T123" s="8"/>
      <c r="U123" s="44"/>
      <c r="V123" s="9">
        <f>(O131-N131*O134)/SQRT((1-O134^2)*(1-N131^2))</f>
        <v>3.5836871617032431E-2</v>
      </c>
    </row>
    <row r="124" spans="2:38" x14ac:dyDescent="0.25">
      <c r="B124" s="45">
        <v>97</v>
      </c>
      <c r="C124" s="28"/>
      <c r="D124" s="65"/>
      <c r="E124" s="63"/>
      <c r="F124" s="29"/>
      <c r="G124" s="65"/>
      <c r="H124" s="46"/>
      <c r="I124" s="34"/>
      <c r="J124" s="7" t="s">
        <v>1</v>
      </c>
      <c r="K124" s="8"/>
      <c r="L124" s="8"/>
      <c r="M124" s="8"/>
      <c r="N124" s="8"/>
      <c r="O124" s="8"/>
      <c r="Q124" s="7" t="s">
        <v>1</v>
      </c>
      <c r="R124" s="8"/>
      <c r="S124" s="8"/>
      <c r="T124" s="8"/>
      <c r="U124" s="44"/>
      <c r="V124" s="8"/>
      <c r="X124" s="144" t="s">
        <v>25</v>
      </c>
      <c r="Y124" s="145"/>
      <c r="Z124" s="145"/>
      <c r="AA124" s="145"/>
      <c r="AB124" s="145"/>
      <c r="AC124" s="145"/>
      <c r="AD124" s="146"/>
      <c r="AF124" s="144" t="s">
        <v>23</v>
      </c>
      <c r="AG124" s="145"/>
      <c r="AH124" s="145"/>
      <c r="AI124" s="145"/>
      <c r="AJ124" s="145"/>
      <c r="AK124" s="145"/>
      <c r="AL124" s="146"/>
    </row>
    <row r="125" spans="2:38" x14ac:dyDescent="0.25">
      <c r="B125" s="45">
        <v>98</v>
      </c>
      <c r="C125" s="28"/>
      <c r="D125" s="65"/>
      <c r="E125" s="63"/>
      <c r="F125" s="29"/>
      <c r="G125" s="65"/>
      <c r="H125" s="46"/>
      <c r="I125" s="34"/>
      <c r="J125" s="6" t="s">
        <v>2</v>
      </c>
      <c r="K125" s="8"/>
      <c r="L125" s="8"/>
      <c r="M125" s="9">
        <v>1</v>
      </c>
      <c r="N125" s="33">
        <f>(F6-E5*F5)/SQRT((1-F5^2)*(1-E5^2))</f>
        <v>-0.92808267869187944</v>
      </c>
      <c r="O125" s="33">
        <f>(G6-E5*G5)/SQRT((1-G5^2)*(1-E5^2))</f>
        <v>-0.995652915286801</v>
      </c>
      <c r="Q125" s="7" t="s">
        <v>2</v>
      </c>
      <c r="R125" s="8"/>
      <c r="S125" s="8"/>
      <c r="T125" s="8"/>
      <c r="U125" s="44"/>
      <c r="V125" s="8"/>
      <c r="X125" s="17" t="s">
        <v>8</v>
      </c>
      <c r="Y125" s="17" t="s">
        <v>11</v>
      </c>
      <c r="Z125" s="7" t="s">
        <v>1</v>
      </c>
      <c r="AA125" s="7" t="s">
        <v>2</v>
      </c>
      <c r="AB125" s="7" t="s">
        <v>3</v>
      </c>
      <c r="AC125" s="7" t="s">
        <v>4</v>
      </c>
      <c r="AD125" s="6" t="s">
        <v>10</v>
      </c>
      <c r="AF125" s="17" t="s">
        <v>8</v>
      </c>
      <c r="AG125" s="17" t="s">
        <v>11</v>
      </c>
      <c r="AH125" s="7" t="s">
        <v>1</v>
      </c>
      <c r="AI125" s="7" t="s">
        <v>2</v>
      </c>
      <c r="AJ125" s="17" t="s">
        <v>3</v>
      </c>
      <c r="AK125" s="7" t="s">
        <v>4</v>
      </c>
      <c r="AL125" s="7" t="s">
        <v>10</v>
      </c>
    </row>
    <row r="126" spans="2:38" x14ac:dyDescent="0.25">
      <c r="B126" s="45">
        <v>99</v>
      </c>
      <c r="C126" s="28"/>
      <c r="D126" s="65"/>
      <c r="E126" s="63"/>
      <c r="F126" s="29"/>
      <c r="G126" s="65"/>
      <c r="H126" s="46"/>
      <c r="I126" s="34"/>
      <c r="J126" s="6" t="s">
        <v>3</v>
      </c>
      <c r="K126" s="8"/>
      <c r="L126" s="8"/>
      <c r="M126" s="8"/>
      <c r="N126" s="9">
        <v>1</v>
      </c>
      <c r="O126" s="33">
        <f>(G7-F5*G5)/SQRT((1-G5^2)*(1-F5^2))</f>
        <v>0.90071950514489618</v>
      </c>
      <c r="Q126" s="7" t="s">
        <v>3</v>
      </c>
      <c r="R126" s="8"/>
      <c r="S126" s="8"/>
      <c r="T126" s="8"/>
      <c r="U126" s="44"/>
      <c r="V126" s="8"/>
      <c r="X126" s="33" t="s">
        <v>11</v>
      </c>
      <c r="Y126" s="33">
        <v>1</v>
      </c>
      <c r="Z126" s="8"/>
      <c r="AA126" s="8"/>
      <c r="AB126" s="8"/>
      <c r="AC126" s="8"/>
      <c r="AD126" s="33">
        <f>(AD117-AC117*AD121)/SQRT((1-AC117^2)*(1-AD121^2))</f>
        <v>-7.0955630203998435E-2</v>
      </c>
      <c r="AF126" s="33" t="s">
        <v>11</v>
      </c>
      <c r="AG126" s="33">
        <v>1</v>
      </c>
      <c r="AH126" s="8"/>
      <c r="AI126" s="8"/>
      <c r="AJ126" s="33">
        <f>(AJ117-AK120*AK117)/SQRT((1-AK120^2)*(1-AK117^2))</f>
        <v>-4.8455730225152954E-2</v>
      </c>
      <c r="AK126" s="8"/>
      <c r="AL126" s="8"/>
    </row>
    <row r="127" spans="2:38" x14ac:dyDescent="0.25">
      <c r="B127" s="45">
        <v>100</v>
      </c>
      <c r="C127" s="28"/>
      <c r="D127" s="65"/>
      <c r="E127" s="63"/>
      <c r="F127" s="29"/>
      <c r="G127" s="65"/>
      <c r="H127" s="46"/>
      <c r="I127" s="34"/>
      <c r="J127" s="6" t="s">
        <v>4</v>
      </c>
      <c r="K127" s="8"/>
      <c r="L127" s="8"/>
      <c r="M127" s="8"/>
      <c r="N127" s="8"/>
      <c r="O127" s="9">
        <v>1</v>
      </c>
      <c r="Q127" s="6" t="s">
        <v>4</v>
      </c>
      <c r="R127" s="8"/>
      <c r="S127" s="8"/>
      <c r="T127" s="8"/>
      <c r="U127" s="44"/>
      <c r="V127" s="9">
        <v>1</v>
      </c>
      <c r="X127" s="8" t="s">
        <v>1</v>
      </c>
      <c r="Y127" s="8"/>
      <c r="Z127" s="8"/>
      <c r="AA127" s="8"/>
      <c r="AB127" s="8"/>
      <c r="AC127" s="8"/>
      <c r="AD127" s="8"/>
      <c r="AF127" s="8" t="s">
        <v>1</v>
      </c>
      <c r="AG127" s="8"/>
      <c r="AH127" s="8"/>
      <c r="AI127" s="8"/>
      <c r="AJ127" s="8"/>
      <c r="AK127" s="8"/>
      <c r="AL127" s="8"/>
    </row>
    <row r="128" spans="2:38" ht="15.75" thickBot="1" x14ac:dyDescent="0.3">
      <c r="B128" s="45">
        <v>101</v>
      </c>
      <c r="C128" s="47"/>
      <c r="D128" s="118"/>
      <c r="E128" s="117"/>
      <c r="F128" s="48"/>
      <c r="G128" s="118"/>
      <c r="H128" s="49"/>
      <c r="I128" s="34"/>
      <c r="X128" s="8" t="s">
        <v>2</v>
      </c>
      <c r="Y128" s="8"/>
      <c r="Z128" s="8"/>
      <c r="AA128" s="8"/>
      <c r="AB128" s="8"/>
      <c r="AC128" s="8"/>
      <c r="AD128" s="8"/>
      <c r="AF128" s="8" t="s">
        <v>2</v>
      </c>
      <c r="AG128" s="8"/>
      <c r="AH128" s="8"/>
      <c r="AI128" s="8"/>
      <c r="AJ128" s="8"/>
      <c r="AK128" s="8"/>
      <c r="AL128" s="8"/>
    </row>
    <row r="129" spans="9:38" x14ac:dyDescent="0.25">
      <c r="J129" s="130" t="s">
        <v>27</v>
      </c>
      <c r="K129" s="131"/>
      <c r="L129" s="131"/>
      <c r="M129" s="131"/>
      <c r="N129" s="131"/>
      <c r="O129" s="132"/>
      <c r="Q129" s="41"/>
      <c r="R129" s="41"/>
      <c r="S129" s="41"/>
      <c r="T129" s="41"/>
      <c r="U129" s="41"/>
      <c r="V129" s="41"/>
      <c r="X129" s="8" t="s">
        <v>3</v>
      </c>
      <c r="Y129" s="8"/>
      <c r="Z129" s="8"/>
      <c r="AA129" s="8"/>
      <c r="AB129" s="8"/>
      <c r="AC129" s="8"/>
      <c r="AD129" s="8"/>
      <c r="AF129" s="33" t="s">
        <v>3</v>
      </c>
      <c r="AG129" s="8"/>
      <c r="AH129" s="8"/>
      <c r="AI129" s="8"/>
      <c r="AJ129" s="33">
        <v>1</v>
      </c>
      <c r="AK129" s="8"/>
      <c r="AL129" s="8"/>
    </row>
    <row r="130" spans="9:38" x14ac:dyDescent="0.25">
      <c r="I130" s="58"/>
      <c r="J130" s="37" t="s">
        <v>8</v>
      </c>
      <c r="K130" s="37" t="s">
        <v>11</v>
      </c>
      <c r="L130" s="25" t="s">
        <v>1</v>
      </c>
      <c r="M130" s="36" t="s">
        <v>2</v>
      </c>
      <c r="N130" s="6" t="s">
        <v>3</v>
      </c>
      <c r="O130" s="6" t="s">
        <v>4</v>
      </c>
      <c r="Q130" s="3"/>
      <c r="R130" s="3"/>
      <c r="S130" s="3"/>
      <c r="T130" s="3"/>
      <c r="U130" s="3"/>
      <c r="V130" s="3"/>
      <c r="X130" s="8" t="s">
        <v>4</v>
      </c>
      <c r="Y130" s="8"/>
      <c r="Z130" s="8"/>
      <c r="AA130" s="8"/>
      <c r="AB130" s="8"/>
      <c r="AC130" s="8"/>
      <c r="AD130" s="8"/>
      <c r="AF130" s="8" t="s">
        <v>4</v>
      </c>
      <c r="AG130" s="8"/>
      <c r="AH130" s="8"/>
      <c r="AI130" s="8"/>
      <c r="AJ130" s="8"/>
      <c r="AK130" s="8"/>
      <c r="AL130" s="8"/>
    </row>
    <row r="131" spans="9:38" x14ac:dyDescent="0.25">
      <c r="I131" s="3"/>
      <c r="J131" s="6" t="s">
        <v>11</v>
      </c>
      <c r="K131" s="9">
        <v>1</v>
      </c>
      <c r="L131" s="8"/>
      <c r="M131" s="8"/>
      <c r="N131" s="33">
        <f>(N123-M123*N125)/SQRT((1-N125^2)*(1-M123^2))</f>
        <v>-4.3614308512584771E-2</v>
      </c>
      <c r="O131" s="33">
        <f>(O123-M123*O125)/SQRT((1-O125^2)*(1-M123^2))</f>
        <v>5.5829479086438323E-2</v>
      </c>
      <c r="Q131" s="3"/>
      <c r="R131" s="42"/>
      <c r="S131" s="42"/>
      <c r="T131" s="42"/>
      <c r="U131" s="42"/>
      <c r="V131" s="42"/>
      <c r="X131" s="9" t="s">
        <v>10</v>
      </c>
      <c r="Y131" s="8"/>
      <c r="Z131" s="8"/>
      <c r="AA131" s="8"/>
      <c r="AB131" s="8"/>
      <c r="AC131" s="8"/>
      <c r="AD131" s="9">
        <v>1</v>
      </c>
      <c r="AF131" s="8" t="s">
        <v>10</v>
      </c>
      <c r="AG131" s="8"/>
      <c r="AH131" s="8"/>
      <c r="AI131" s="8"/>
      <c r="AJ131" s="8"/>
      <c r="AK131" s="8"/>
      <c r="AL131" s="8"/>
    </row>
    <row r="132" spans="9:38" x14ac:dyDescent="0.25">
      <c r="I132" s="42"/>
      <c r="J132" s="7" t="s">
        <v>1</v>
      </c>
      <c r="K132" s="8"/>
      <c r="L132" s="8"/>
      <c r="M132" s="8"/>
      <c r="N132" s="8"/>
      <c r="O132" s="8"/>
      <c r="Q132" s="3"/>
      <c r="R132" s="42"/>
      <c r="S132" s="42"/>
      <c r="T132" s="42"/>
      <c r="U132" s="42"/>
      <c r="V132" s="42"/>
    </row>
    <row r="133" spans="9:38" x14ac:dyDescent="0.25">
      <c r="I133" s="59"/>
      <c r="J133" s="7" t="s">
        <v>2</v>
      </c>
      <c r="K133" s="8"/>
      <c r="L133" s="8"/>
      <c r="M133" s="8"/>
      <c r="N133" s="8"/>
      <c r="O133" s="8"/>
      <c r="Q133" s="3"/>
      <c r="R133" s="42"/>
      <c r="S133" s="42"/>
      <c r="T133" s="42"/>
      <c r="U133" s="42"/>
      <c r="V133" s="42"/>
    </row>
    <row r="134" spans="9:38" x14ac:dyDescent="0.25">
      <c r="I134" s="59"/>
      <c r="J134" s="6" t="s">
        <v>3</v>
      </c>
      <c r="K134" s="8"/>
      <c r="L134" s="8"/>
      <c r="M134" s="8"/>
      <c r="N134" s="9">
        <v>1</v>
      </c>
      <c r="O134" s="33">
        <f>(O126-N125*O125)/SQRT((1-O125^2)*(1-N125^2))</f>
        <v>-0.67261998419402846</v>
      </c>
      <c r="Q134" s="3"/>
      <c r="R134" s="42"/>
      <c r="S134" s="42"/>
      <c r="T134" s="42"/>
      <c r="U134" s="42"/>
      <c r="V134" s="42"/>
    </row>
    <row r="135" spans="9:38" x14ac:dyDescent="0.25">
      <c r="I135" s="59"/>
      <c r="J135" s="6" t="s">
        <v>4</v>
      </c>
      <c r="K135" s="8"/>
      <c r="L135" s="8"/>
      <c r="M135" s="8"/>
      <c r="N135" s="8"/>
      <c r="O135" s="9">
        <v>1</v>
      </c>
      <c r="Q135" s="3"/>
      <c r="R135" s="42"/>
      <c r="S135" s="42"/>
      <c r="T135" s="42"/>
      <c r="U135" s="42"/>
      <c r="V135" s="42"/>
    </row>
    <row r="136" spans="9:38" x14ac:dyDescent="0.25">
      <c r="I136" s="59"/>
    </row>
    <row r="137" spans="9:38" x14ac:dyDescent="0.25">
      <c r="I137" s="58"/>
    </row>
    <row r="139" spans="9:38" ht="15" customHeight="1" x14ac:dyDescent="0.25"/>
    <row r="140" spans="9:38" ht="15" customHeight="1" x14ac:dyDescent="0.25"/>
    <row r="141" spans="9:38" ht="15" customHeight="1" x14ac:dyDescent="0.25">
      <c r="I141" s="60"/>
    </row>
    <row r="142" spans="9:38" x14ac:dyDescent="0.25">
      <c r="I142" s="60"/>
    </row>
    <row r="143" spans="9:38" x14ac:dyDescent="0.25">
      <c r="I143" s="60"/>
      <c r="J143" s="116"/>
    </row>
    <row r="144" spans="9:38" x14ac:dyDescent="0.25">
      <c r="I144" s="60"/>
    </row>
    <row r="147" spans="2:9" ht="15" customHeight="1" x14ac:dyDescent="0.25"/>
    <row r="148" spans="2:9" ht="15" customHeight="1" x14ac:dyDescent="0.25">
      <c r="I148" s="77"/>
    </row>
    <row r="149" spans="2:9" x14ac:dyDescent="0.25">
      <c r="I149" s="77"/>
    </row>
    <row r="150" spans="2:9" x14ac:dyDescent="0.25">
      <c r="I150" s="77"/>
    </row>
    <row r="151" spans="2:9" x14ac:dyDescent="0.25">
      <c r="I151" s="77"/>
    </row>
    <row r="152" spans="2:9" x14ac:dyDescent="0.25">
      <c r="B152" t="s">
        <v>30</v>
      </c>
    </row>
  </sheetData>
  <mergeCells count="36">
    <mergeCell ref="AF124:AL124"/>
    <mergeCell ref="AF57:AL57"/>
    <mergeCell ref="AF39:AL39"/>
    <mergeCell ref="AF48:AL48"/>
    <mergeCell ref="AF30:AL30"/>
    <mergeCell ref="AF66:AL66"/>
    <mergeCell ref="AF114:AL114"/>
    <mergeCell ref="X66:AD66"/>
    <mergeCell ref="X114:AD114"/>
    <mergeCell ref="Q65:V65"/>
    <mergeCell ref="X30:AD30"/>
    <mergeCell ref="B25:H25"/>
    <mergeCell ref="D26:H26"/>
    <mergeCell ref="J36:N36"/>
    <mergeCell ref="J43:N43"/>
    <mergeCell ref="J30:M30"/>
    <mergeCell ref="O30:R30"/>
    <mergeCell ref="P43:T43"/>
    <mergeCell ref="P36:T36"/>
    <mergeCell ref="X39:AD39"/>
    <mergeCell ref="X124:AD124"/>
    <mergeCell ref="J112:O112"/>
    <mergeCell ref="J121:O121"/>
    <mergeCell ref="Q121:V121"/>
    <mergeCell ref="Q112:V112"/>
    <mergeCell ref="B2:H2"/>
    <mergeCell ref="J65:O65"/>
    <mergeCell ref="X48:AD48"/>
    <mergeCell ref="X57:AD57"/>
    <mergeCell ref="J50:N50"/>
    <mergeCell ref="Q57:V57"/>
    <mergeCell ref="B12:B16"/>
    <mergeCell ref="J57:O57"/>
    <mergeCell ref="B11:H11"/>
    <mergeCell ref="B18:H18"/>
    <mergeCell ref="J129:O129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19"/>
  <sheetViews>
    <sheetView showGridLines="0" tabSelected="1" workbookViewId="0">
      <selection activeCell="I12" sqref="I12"/>
    </sheetView>
  </sheetViews>
  <sheetFormatPr baseColWidth="10" defaultColWidth="11.42578125" defaultRowHeight="15" x14ac:dyDescent="0.25"/>
  <sheetData>
    <row r="2" spans="2:7" ht="51.75" customHeight="1" x14ac:dyDescent="0.25">
      <c r="B2" s="154" t="s">
        <v>49</v>
      </c>
      <c r="C2" s="154"/>
      <c r="D2" s="154"/>
      <c r="E2" s="154"/>
      <c r="F2" s="154"/>
      <c r="G2" s="154"/>
    </row>
    <row r="4" spans="2:7" x14ac:dyDescent="0.25">
      <c r="B4" s="81" t="s">
        <v>39</v>
      </c>
      <c r="C4" s="81" t="s">
        <v>40</v>
      </c>
      <c r="D4" s="81" t="s">
        <v>41</v>
      </c>
      <c r="E4" s="81" t="s">
        <v>42</v>
      </c>
      <c r="F4" s="81" t="s">
        <v>43</v>
      </c>
      <c r="G4" s="81" t="s">
        <v>45</v>
      </c>
    </row>
    <row r="5" spans="2:7" x14ac:dyDescent="0.25">
      <c r="B5" s="82">
        <v>1</v>
      </c>
      <c r="C5" s="83">
        <v>2</v>
      </c>
      <c r="D5" s="83">
        <v>3</v>
      </c>
      <c r="E5" s="83">
        <v>2</v>
      </c>
      <c r="F5" s="83">
        <v>4</v>
      </c>
      <c r="G5" s="81">
        <f>SUM(C5:F5)</f>
        <v>11</v>
      </c>
    </row>
    <row r="6" spans="2:7" x14ac:dyDescent="0.25">
      <c r="B6" s="82">
        <v>2</v>
      </c>
      <c r="C6" s="83">
        <v>1</v>
      </c>
      <c r="D6" s="83">
        <v>2</v>
      </c>
      <c r="E6" s="83">
        <v>1</v>
      </c>
      <c r="F6" s="83">
        <v>3</v>
      </c>
      <c r="G6" s="81">
        <f t="shared" ref="G6:G15" si="0">SUM(C6:F6)</f>
        <v>7</v>
      </c>
    </row>
    <row r="7" spans="2:7" x14ac:dyDescent="0.25">
      <c r="B7" s="82">
        <v>3</v>
      </c>
      <c r="C7" s="83">
        <v>2</v>
      </c>
      <c r="D7" s="83">
        <v>2</v>
      </c>
      <c r="E7" s="83">
        <v>1</v>
      </c>
      <c r="F7" s="83">
        <v>3</v>
      </c>
      <c r="G7" s="81">
        <f t="shared" si="0"/>
        <v>8</v>
      </c>
    </row>
    <row r="8" spans="2:7" x14ac:dyDescent="0.25">
      <c r="B8" s="82">
        <v>4</v>
      </c>
      <c r="C8" s="83">
        <v>3</v>
      </c>
      <c r="D8" s="83">
        <v>3</v>
      </c>
      <c r="E8" s="83">
        <v>2</v>
      </c>
      <c r="F8" s="83">
        <v>4</v>
      </c>
      <c r="G8" s="81">
        <f t="shared" si="0"/>
        <v>12</v>
      </c>
    </row>
    <row r="9" spans="2:7" x14ac:dyDescent="0.25">
      <c r="B9" s="82">
        <v>5</v>
      </c>
      <c r="C9" s="83">
        <v>2</v>
      </c>
      <c r="D9" s="83">
        <v>2</v>
      </c>
      <c r="E9" s="83">
        <v>1</v>
      </c>
      <c r="F9" s="83">
        <v>5</v>
      </c>
      <c r="G9" s="81">
        <f t="shared" si="0"/>
        <v>10</v>
      </c>
    </row>
    <row r="10" spans="2:7" x14ac:dyDescent="0.25">
      <c r="B10" s="82">
        <v>6</v>
      </c>
      <c r="C10" s="83">
        <v>2</v>
      </c>
      <c r="D10" s="83">
        <v>3</v>
      </c>
      <c r="E10" s="83">
        <v>2</v>
      </c>
      <c r="F10" s="83">
        <v>5</v>
      </c>
      <c r="G10" s="81">
        <f t="shared" si="0"/>
        <v>12</v>
      </c>
    </row>
    <row r="11" spans="2:7" x14ac:dyDescent="0.25">
      <c r="B11" s="82">
        <v>7</v>
      </c>
      <c r="C11" s="83">
        <v>1</v>
      </c>
      <c r="D11" s="83">
        <v>2</v>
      </c>
      <c r="E11" s="83">
        <v>1</v>
      </c>
      <c r="F11" s="83">
        <v>3</v>
      </c>
      <c r="G11" s="81">
        <f t="shared" si="0"/>
        <v>7</v>
      </c>
    </row>
    <row r="12" spans="2:7" x14ac:dyDescent="0.25">
      <c r="B12" s="82">
        <v>8</v>
      </c>
      <c r="C12" s="83">
        <v>2</v>
      </c>
      <c r="D12" s="83">
        <v>3</v>
      </c>
      <c r="E12" s="83">
        <v>1</v>
      </c>
      <c r="F12" s="83">
        <v>3</v>
      </c>
      <c r="G12" s="81">
        <f t="shared" si="0"/>
        <v>9</v>
      </c>
    </row>
    <row r="13" spans="2:7" x14ac:dyDescent="0.25">
      <c r="B13" s="82">
        <v>9</v>
      </c>
      <c r="C13" s="83">
        <v>3</v>
      </c>
      <c r="D13" s="83">
        <v>4</v>
      </c>
      <c r="E13" s="83">
        <v>2</v>
      </c>
      <c r="F13" s="83">
        <v>6</v>
      </c>
      <c r="G13" s="81">
        <f t="shared" si="0"/>
        <v>15</v>
      </c>
    </row>
    <row r="14" spans="2:7" x14ac:dyDescent="0.25">
      <c r="B14" s="82">
        <v>10</v>
      </c>
      <c r="C14" s="83">
        <v>3</v>
      </c>
      <c r="D14" s="83">
        <v>3</v>
      </c>
      <c r="E14" s="83">
        <v>2</v>
      </c>
      <c r="F14" s="83">
        <v>6</v>
      </c>
      <c r="G14" s="81">
        <f t="shared" si="0"/>
        <v>14</v>
      </c>
    </row>
    <row r="15" spans="2:7" x14ac:dyDescent="0.25">
      <c r="B15" s="82">
        <v>11</v>
      </c>
      <c r="C15" s="83">
        <v>2</v>
      </c>
      <c r="D15" s="83">
        <v>2</v>
      </c>
      <c r="E15" s="83">
        <v>2</v>
      </c>
      <c r="F15" s="83">
        <v>5</v>
      </c>
      <c r="G15" s="81">
        <f t="shared" si="0"/>
        <v>11</v>
      </c>
    </row>
    <row r="16" spans="2:7" x14ac:dyDescent="0.25">
      <c r="B16" s="75" t="s">
        <v>44</v>
      </c>
      <c r="C16" s="33">
        <f>VAR(C5:C15)</f>
        <v>0.49090909090909063</v>
      </c>
      <c r="D16" s="33">
        <f t="shared" ref="D16:G16" si="1">VAR(D5:D15)</f>
        <v>0.4545454545454547</v>
      </c>
      <c r="E16" s="33">
        <f t="shared" si="1"/>
        <v>0.27272727272727265</v>
      </c>
      <c r="F16" s="33">
        <f t="shared" si="1"/>
        <v>1.4181818181818187</v>
      </c>
      <c r="G16" s="33">
        <f t="shared" si="1"/>
        <v>7.072727272727275</v>
      </c>
    </row>
    <row r="17" spans="2:3" x14ac:dyDescent="0.25">
      <c r="B17" s="84" t="s">
        <v>46</v>
      </c>
      <c r="C17" s="33">
        <f>SUM(C16:F16)</f>
        <v>2.6363636363636367</v>
      </c>
    </row>
    <row r="18" spans="2:3" x14ac:dyDescent="0.25">
      <c r="B18" s="75" t="s">
        <v>47</v>
      </c>
      <c r="C18" s="33">
        <f>COUNT(C5:F5)/(COUNT(C5:F5)-1)*(1-(C17/G16))</f>
        <v>0.83633247643530428</v>
      </c>
    </row>
    <row r="19" spans="2:3" x14ac:dyDescent="0.25">
      <c r="B19" t="s">
        <v>48</v>
      </c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info</vt:lpstr>
      <vt:lpstr>exemple</vt:lpstr>
      <vt:lpstr>alpha Cronbach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 GERMA</dc:creator>
  <cp:lastModifiedBy>morgan Germa Colliou</cp:lastModifiedBy>
  <dcterms:created xsi:type="dcterms:W3CDTF">2014-05-12T09:51:08Z</dcterms:created>
  <dcterms:modified xsi:type="dcterms:W3CDTF">2025-11-18T07:51:14Z</dcterms:modified>
</cp:coreProperties>
</file>