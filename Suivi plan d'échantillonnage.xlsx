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13_ncr:1_{2276A8CE-A94E-4E54-9DC9-7C7D24112334}" xr6:coauthVersionLast="47" xr6:coauthVersionMax="47" xr10:uidLastSave="{00000000-0000-0000-0000-000000000000}"/>
  <bookViews>
    <workbookView xWindow="-120" yWindow="-120" windowWidth="29040" windowHeight="15720" xr2:uid="{1876DA52-8194-4E66-96B9-E6481E41F468}"/>
  </bookViews>
  <sheets>
    <sheet name="suiv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1" l="1"/>
  <c r="I30" i="1"/>
  <c r="J30" i="1"/>
  <c r="K30" i="1"/>
  <c r="C31" i="1"/>
  <c r="I31" i="1"/>
  <c r="J31" i="1"/>
  <c r="K31" i="1"/>
  <c r="C32" i="1"/>
  <c r="I32" i="1"/>
  <c r="J32" i="1"/>
  <c r="K32" i="1"/>
  <c r="C33" i="1"/>
  <c r="I33" i="1"/>
  <c r="J33" i="1"/>
  <c r="K33" i="1"/>
  <c r="C34" i="1"/>
  <c r="I34" i="1"/>
  <c r="J34" i="1"/>
  <c r="K34" i="1"/>
  <c r="C35" i="1"/>
  <c r="I35" i="1"/>
  <c r="J35" i="1"/>
  <c r="K35" i="1"/>
  <c r="C36" i="1"/>
  <c r="I36" i="1"/>
  <c r="J36" i="1"/>
  <c r="K36" i="1"/>
  <c r="C37" i="1"/>
  <c r="I37" i="1"/>
  <c r="J37" i="1"/>
  <c r="K37" i="1"/>
  <c r="C38" i="1"/>
  <c r="I38" i="1"/>
  <c r="J38" i="1"/>
  <c r="K38" i="1"/>
  <c r="C39" i="1"/>
  <c r="I39" i="1"/>
  <c r="J39" i="1"/>
  <c r="K39" i="1"/>
  <c r="C40" i="1"/>
  <c r="I40" i="1"/>
  <c r="J40" i="1"/>
  <c r="K40" i="1"/>
  <c r="C41" i="1"/>
  <c r="I41" i="1"/>
  <c r="J41" i="1"/>
  <c r="K41" i="1"/>
  <c r="C42" i="1"/>
  <c r="I42" i="1"/>
  <c r="J42" i="1"/>
  <c r="K42" i="1"/>
  <c r="C43" i="1"/>
  <c r="I43" i="1"/>
  <c r="J43" i="1"/>
  <c r="K43" i="1"/>
  <c r="C44" i="1"/>
  <c r="I44" i="1"/>
  <c r="J44" i="1"/>
  <c r="K44" i="1"/>
  <c r="C45" i="1"/>
  <c r="I45" i="1"/>
  <c r="J45" i="1"/>
  <c r="K45" i="1"/>
  <c r="C46" i="1"/>
  <c r="I46" i="1"/>
  <c r="J46" i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K46" i="1"/>
  <c r="C47" i="1"/>
  <c r="I47" i="1"/>
  <c r="K47" i="1"/>
  <c r="C48" i="1"/>
  <c r="I48" i="1"/>
  <c r="K48" i="1"/>
  <c r="C49" i="1"/>
  <c r="I49" i="1"/>
  <c r="K49" i="1"/>
  <c r="C50" i="1"/>
  <c r="I50" i="1"/>
  <c r="K50" i="1"/>
  <c r="C51" i="1"/>
  <c r="I51" i="1"/>
  <c r="K51" i="1"/>
  <c r="C52" i="1"/>
  <c r="I52" i="1"/>
  <c r="K52" i="1"/>
  <c r="C53" i="1"/>
  <c r="I53" i="1"/>
  <c r="K53" i="1"/>
  <c r="C54" i="1"/>
  <c r="I54" i="1"/>
  <c r="K54" i="1"/>
  <c r="C55" i="1"/>
  <c r="I55" i="1"/>
  <c r="K55" i="1"/>
  <c r="C56" i="1"/>
  <c r="I56" i="1"/>
  <c r="K56" i="1"/>
  <c r="C57" i="1"/>
  <c r="I57" i="1"/>
  <c r="K57" i="1"/>
  <c r="C58" i="1"/>
  <c r="I58" i="1"/>
  <c r="K58" i="1"/>
  <c r="C59" i="1"/>
  <c r="I59" i="1"/>
  <c r="K59" i="1"/>
  <c r="C60" i="1"/>
  <c r="I60" i="1"/>
  <c r="K60" i="1"/>
  <c r="C61" i="1"/>
  <c r="I61" i="1"/>
  <c r="K61" i="1"/>
  <c r="C62" i="1"/>
  <c r="I62" i="1"/>
  <c r="K62" i="1"/>
  <c r="C63" i="1"/>
  <c r="I63" i="1"/>
  <c r="K63" i="1"/>
  <c r="C64" i="1"/>
  <c r="I64" i="1"/>
  <c r="K64" i="1"/>
  <c r="C65" i="1"/>
  <c r="I65" i="1"/>
  <c r="K65" i="1"/>
  <c r="C66" i="1"/>
  <c r="I66" i="1"/>
  <c r="K66" i="1"/>
  <c r="C67" i="1"/>
  <c r="I67" i="1"/>
  <c r="K67" i="1"/>
  <c r="C68" i="1"/>
  <c r="I68" i="1"/>
  <c r="K68" i="1"/>
  <c r="C69" i="1"/>
  <c r="I69" i="1"/>
  <c r="K69" i="1"/>
  <c r="C70" i="1"/>
  <c r="I70" i="1"/>
  <c r="K70" i="1"/>
  <c r="C71" i="1"/>
  <c r="I71" i="1"/>
  <c r="K71" i="1"/>
  <c r="C72" i="1"/>
  <c r="I72" i="1"/>
  <c r="K72" i="1"/>
  <c r="C73" i="1"/>
  <c r="I73" i="1"/>
  <c r="K73" i="1"/>
  <c r="C74" i="1"/>
  <c r="I74" i="1"/>
  <c r="K74" i="1"/>
  <c r="C75" i="1"/>
  <c r="I75" i="1"/>
  <c r="K75" i="1"/>
  <c r="C76" i="1"/>
  <c r="I76" i="1"/>
  <c r="K76" i="1"/>
  <c r="C77" i="1"/>
  <c r="I77" i="1"/>
  <c r="K77" i="1"/>
  <c r="C78" i="1"/>
  <c r="I78" i="1"/>
  <c r="K78" i="1"/>
  <c r="C79" i="1"/>
  <c r="I79" i="1"/>
  <c r="K79" i="1"/>
  <c r="C80" i="1"/>
  <c r="I80" i="1"/>
  <c r="K80" i="1"/>
  <c r="C81" i="1"/>
  <c r="I81" i="1"/>
  <c r="K81" i="1"/>
  <c r="C82" i="1"/>
  <c r="I82" i="1"/>
  <c r="K82" i="1"/>
  <c r="C83" i="1"/>
  <c r="I83" i="1"/>
  <c r="K83" i="1"/>
  <c r="C84" i="1"/>
  <c r="I84" i="1"/>
  <c r="K84" i="1"/>
  <c r="C85" i="1"/>
  <c r="I85" i="1"/>
  <c r="K85" i="1"/>
  <c r="C86" i="1"/>
  <c r="I86" i="1"/>
  <c r="K86" i="1"/>
  <c r="C87" i="1"/>
  <c r="I87" i="1"/>
  <c r="K87" i="1"/>
  <c r="C88" i="1"/>
  <c r="I88" i="1"/>
  <c r="K88" i="1"/>
  <c r="C89" i="1"/>
  <c r="I89" i="1"/>
  <c r="K89" i="1"/>
  <c r="C90" i="1"/>
  <c r="I90" i="1"/>
  <c r="K90" i="1"/>
  <c r="C91" i="1"/>
  <c r="I91" i="1"/>
  <c r="K91" i="1"/>
  <c r="C92" i="1"/>
  <c r="I92" i="1"/>
  <c r="K92" i="1"/>
  <c r="C93" i="1"/>
  <c r="I93" i="1"/>
  <c r="K93" i="1"/>
  <c r="C94" i="1"/>
  <c r="I94" i="1"/>
  <c r="K94" i="1"/>
  <c r="C95" i="1"/>
  <c r="I95" i="1"/>
  <c r="K95" i="1"/>
  <c r="C96" i="1"/>
  <c r="I96" i="1"/>
  <c r="K96" i="1"/>
  <c r="C97" i="1"/>
  <c r="I97" i="1"/>
  <c r="K97" i="1"/>
  <c r="C98" i="1"/>
  <c r="I98" i="1"/>
  <c r="K98" i="1"/>
  <c r="C99" i="1"/>
  <c r="I99" i="1"/>
  <c r="K99" i="1"/>
  <c r="C100" i="1"/>
  <c r="I100" i="1"/>
  <c r="K100" i="1"/>
  <c r="C101" i="1"/>
  <c r="I101" i="1"/>
  <c r="K101" i="1"/>
  <c r="C102" i="1"/>
  <c r="I102" i="1"/>
  <c r="K102" i="1"/>
  <c r="C103" i="1"/>
  <c r="I103" i="1"/>
  <c r="K103" i="1"/>
  <c r="C104" i="1"/>
  <c r="I104" i="1"/>
  <c r="K104" i="1"/>
  <c r="C105" i="1"/>
  <c r="I105" i="1"/>
  <c r="K105" i="1"/>
  <c r="C106" i="1"/>
  <c r="I106" i="1"/>
  <c r="K106" i="1"/>
  <c r="C107" i="1"/>
  <c r="I107" i="1"/>
  <c r="K107" i="1"/>
  <c r="C108" i="1"/>
  <c r="I108" i="1"/>
  <c r="K108" i="1"/>
  <c r="C109" i="1"/>
  <c r="I109" i="1"/>
  <c r="K109" i="1"/>
  <c r="C110" i="1"/>
  <c r="I110" i="1"/>
  <c r="K110" i="1"/>
  <c r="C111" i="1"/>
  <c r="I111" i="1"/>
  <c r="K111" i="1"/>
  <c r="C112" i="1"/>
  <c r="I112" i="1"/>
  <c r="K112" i="1"/>
  <c r="C113" i="1"/>
  <c r="I113" i="1"/>
  <c r="K113" i="1"/>
  <c r="C114" i="1"/>
  <c r="I114" i="1"/>
  <c r="K114" i="1"/>
  <c r="C115" i="1"/>
  <c r="I115" i="1"/>
  <c r="K115" i="1"/>
  <c r="C116" i="1"/>
  <c r="I116" i="1"/>
  <c r="K116" i="1"/>
  <c r="C117" i="1"/>
  <c r="I117" i="1"/>
  <c r="K117" i="1"/>
  <c r="C118" i="1"/>
  <c r="I118" i="1"/>
  <c r="K118" i="1"/>
  <c r="C119" i="1"/>
  <c r="I119" i="1"/>
  <c r="K119" i="1"/>
  <c r="C120" i="1"/>
  <c r="I120" i="1"/>
  <c r="K120" i="1"/>
  <c r="C121" i="1"/>
  <c r="I121" i="1"/>
  <c r="K121" i="1"/>
  <c r="C122" i="1"/>
  <c r="I122" i="1"/>
  <c r="K122" i="1"/>
  <c r="C123" i="1"/>
  <c r="I123" i="1"/>
  <c r="K123" i="1"/>
  <c r="C124" i="1"/>
  <c r="I124" i="1"/>
  <c r="K124" i="1"/>
  <c r="C125" i="1"/>
  <c r="I125" i="1"/>
  <c r="K125" i="1"/>
  <c r="C126" i="1"/>
  <c r="I126" i="1"/>
  <c r="K126" i="1"/>
  <c r="C127" i="1"/>
  <c r="I127" i="1"/>
  <c r="K127" i="1"/>
  <c r="C128" i="1"/>
  <c r="I128" i="1"/>
  <c r="K128" i="1"/>
  <c r="C129" i="1"/>
  <c r="I129" i="1"/>
  <c r="K129" i="1"/>
  <c r="C130" i="1"/>
  <c r="I130" i="1"/>
  <c r="K130" i="1"/>
  <c r="C131" i="1"/>
  <c r="I131" i="1"/>
  <c r="K131" i="1"/>
  <c r="C132" i="1"/>
  <c r="I132" i="1"/>
  <c r="K132" i="1"/>
  <c r="C133" i="1"/>
  <c r="I133" i="1"/>
  <c r="K133" i="1"/>
  <c r="C134" i="1"/>
  <c r="I134" i="1"/>
  <c r="K134" i="1"/>
  <c r="C135" i="1"/>
  <c r="I135" i="1"/>
  <c r="K135" i="1"/>
  <c r="C136" i="1"/>
  <c r="I136" i="1"/>
  <c r="K136" i="1"/>
  <c r="C137" i="1"/>
  <c r="I137" i="1"/>
  <c r="K137" i="1"/>
  <c r="C138" i="1"/>
  <c r="I138" i="1"/>
  <c r="K138" i="1"/>
  <c r="C139" i="1"/>
  <c r="I139" i="1"/>
  <c r="K139" i="1"/>
  <c r="K7" i="1"/>
  <c r="K8" i="1"/>
  <c r="K29" i="1"/>
  <c r="I29" i="1"/>
  <c r="C29" i="1"/>
  <c r="K28" i="1"/>
  <c r="I28" i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I14" i="1"/>
  <c r="K14" i="1" s="1"/>
  <c r="I13" i="1"/>
  <c r="K13" i="1" s="1"/>
  <c r="I12" i="1"/>
  <c r="K12" i="1" s="1"/>
  <c r="I11" i="1"/>
  <c r="K11" i="1" s="1"/>
  <c r="I10" i="1"/>
  <c r="K10" i="1" s="1"/>
  <c r="I9" i="1"/>
  <c r="K9" i="1" s="1"/>
  <c r="I8" i="1"/>
  <c r="I7" i="1"/>
  <c r="I6" i="1"/>
  <c r="K6" i="1" s="1"/>
  <c r="I5" i="1"/>
  <c r="K5" i="1" s="1"/>
  <c r="J5" i="1" l="1"/>
  <c r="C6" i="1" l="1"/>
  <c r="J6" i="1"/>
  <c r="C7" i="1" s="1"/>
  <c r="J7" i="1" l="1"/>
  <c r="C8" i="1" s="1"/>
  <c r="J8" i="1"/>
  <c r="C9" i="1" s="1"/>
  <c r="J9" i="1" l="1"/>
  <c r="C10" i="1" s="1"/>
  <c r="J10" i="1"/>
  <c r="C11" i="1" s="1"/>
  <c r="J12" i="1" s="1"/>
  <c r="C13" i="1" s="1"/>
  <c r="J14" i="1" s="1"/>
  <c r="C15" i="1" s="1"/>
  <c r="J16" i="1" s="1"/>
  <c r="C17" i="1" s="1"/>
  <c r="J11" i="1" l="1"/>
  <c r="C12" i="1" s="1"/>
  <c r="J13" i="1" s="1"/>
  <c r="C14" i="1" s="1"/>
  <c r="J15" i="1" s="1"/>
  <c r="C16" i="1" s="1"/>
  <c r="J17" i="1" s="1"/>
  <c r="C18" i="1" s="1"/>
  <c r="J18" i="1" l="1"/>
  <c r="C19" i="1" s="1"/>
  <c r="J19" i="1" l="1"/>
  <c r="C20" i="1" s="1"/>
  <c r="J20" i="1" l="1"/>
  <c r="C21" i="1" s="1"/>
  <c r="J21" i="1" l="1"/>
  <c r="C22" i="1" s="1"/>
  <c r="J22" i="1"/>
  <c r="C23" i="1" s="1"/>
  <c r="J23" i="1" l="1"/>
  <c r="C24" i="1" s="1"/>
  <c r="J24" i="1"/>
  <c r="C25" i="1" s="1"/>
  <c r="J25" i="1" l="1"/>
  <c r="C26" i="1" s="1"/>
  <c r="J26" i="1" l="1"/>
  <c r="C27" i="1" s="1"/>
  <c r="J27" i="1" l="1"/>
  <c r="C28" i="1" s="1"/>
  <c r="J28" i="1"/>
  <c r="J29" i="1"/>
</calcChain>
</file>

<file path=xl/sharedStrings.xml><?xml version="1.0" encoding="utf-8"?>
<sst xmlns="http://schemas.openxmlformats.org/spreadsheetml/2006/main" count="42" uniqueCount="24">
  <si>
    <t>NQA</t>
  </si>
  <si>
    <t>Numéro du lot</t>
  </si>
  <si>
    <t>type de contrôle</t>
  </si>
  <si>
    <t>Effectif du lot    Tableau 1</t>
  </si>
  <si>
    <t>Lettre-code Tableau 2.A</t>
  </si>
  <si>
    <t>effectif de l'échantillon Tableau 2.A</t>
  </si>
  <si>
    <t>Ac applicable</t>
  </si>
  <si>
    <t>individus NC</t>
  </si>
  <si>
    <t>Acceptabilité</t>
  </si>
  <si>
    <t>Score de passage</t>
  </si>
  <si>
    <t>normal</t>
  </si>
  <si>
    <t>G</t>
  </si>
  <si>
    <t>H</t>
  </si>
  <si>
    <t>E</t>
  </si>
  <si>
    <t>J</t>
  </si>
  <si>
    <t>F</t>
  </si>
  <si>
    <t>le score est de 0 au départ</t>
  </si>
  <si>
    <t>si 2 lot / 5 successif NC --&gt; renforcé</t>
  </si>
  <si>
    <t>si Ac &gt; 2 , ajouter 3</t>
  </si>
  <si>
    <t>si 5 lot Cf --&gt; repasse en normal</t>
  </si>
  <si>
    <t>si 0&lt;Ac&lt;1, ajouter 2</t>
  </si>
  <si>
    <t>si score de passage &gt; 30 --&gt; réduit ou si 10lots/10 sont Cf</t>
  </si>
  <si>
    <t>si en réduit 1 NC --&gt; normal</t>
  </si>
  <si>
    <t>Selon iso 2859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</si>
</sst>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0" fillId="2" borderId="3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/>
    <xf numFmtId="0" fontId="3" fillId="0" borderId="0" xfId="0" applyFont="1" applyAlignmen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112-F17D-4AC5-9F9B-FA9A191CCCBC}">
  <dimension ref="A3:S139"/>
  <sheetViews>
    <sheetView showGridLines="0" tabSelected="1" zoomScale="85" zoomScaleNormal="85" workbookViewId="0">
      <selection activeCell="M23" sqref="M23"/>
    </sheetView>
  </sheetViews>
  <sheetFormatPr baseColWidth="10" defaultColWidth="11.42578125" defaultRowHeight="15" x14ac:dyDescent="0.25"/>
  <cols>
    <col min="1" max="2" width="11.42578125" style="1"/>
    <col min="3" max="3" width="10.85546875" style="1" customWidth="1"/>
    <col min="4" max="5" width="11.42578125" style="1"/>
    <col min="6" max="6" width="13.85546875" style="1" customWidth="1"/>
    <col min="7" max="8" width="11.42578125" style="1"/>
    <col min="9" max="9" width="13.5703125" style="1" customWidth="1"/>
    <col min="10" max="16384" width="11.42578125" style="1"/>
  </cols>
  <sheetData>
    <row r="3" spans="1:19" x14ac:dyDescent="0.25">
      <c r="B3" s="2" t="s">
        <v>0</v>
      </c>
      <c r="C3" s="3"/>
      <c r="D3" s="4">
        <v>2.5000000000000001E-2</v>
      </c>
      <c r="E3" s="26" t="s">
        <v>23</v>
      </c>
      <c r="F3" s="25"/>
    </row>
    <row r="4" spans="1:19" ht="67.5" customHeight="1" x14ac:dyDescent="0.25">
      <c r="A4" s="5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7"/>
      <c r="L4" s="5"/>
    </row>
    <row r="5" spans="1:19" x14ac:dyDescent="0.25">
      <c r="B5" s="8">
        <v>1</v>
      </c>
      <c r="C5" s="9" t="s">
        <v>10</v>
      </c>
      <c r="D5" s="10">
        <v>180</v>
      </c>
      <c r="E5" s="10" t="s">
        <v>11</v>
      </c>
      <c r="F5" s="10">
        <v>32</v>
      </c>
      <c r="G5" s="10">
        <v>0</v>
      </c>
      <c r="H5" s="10">
        <v>0</v>
      </c>
      <c r="I5" s="8" t="str">
        <f>IF(ISNUMBER(H5),IF(H5&lt;=G5,"ok","nc"),"")</f>
        <v>ok</v>
      </c>
      <c r="J5" s="8">
        <f>IF(I5="ok",IF(G5&gt;1,3,2),0)</f>
        <v>2</v>
      </c>
      <c r="K5" s="11">
        <f>IF(ISNUMBER(H5),IF(I5="ok",0,1),"")</f>
        <v>0</v>
      </c>
      <c r="L5" s="13" t="s">
        <v>16</v>
      </c>
      <c r="M5" s="14"/>
      <c r="N5" s="14"/>
      <c r="O5" s="14" t="s">
        <v>17</v>
      </c>
      <c r="P5" s="14"/>
      <c r="Q5" s="15"/>
      <c r="R5" s="15"/>
      <c r="S5" s="16"/>
    </row>
    <row r="6" spans="1:19" x14ac:dyDescent="0.25">
      <c r="B6" s="8">
        <v>2</v>
      </c>
      <c r="C6" s="8" t="str">
        <f>IF(ISNUMBER(H5),IF(J5&gt;29,"réduit",IF(SUM(K5:K6)&gt;1,"renforcé","normal")),"")</f>
        <v>normal</v>
      </c>
      <c r="D6" s="10">
        <v>200</v>
      </c>
      <c r="E6" s="10" t="s">
        <v>11</v>
      </c>
      <c r="F6" s="10">
        <v>32</v>
      </c>
      <c r="G6" s="10">
        <v>1</v>
      </c>
      <c r="H6" s="10">
        <v>1</v>
      </c>
      <c r="I6" s="8" t="str">
        <f>IF(ISNUMBER(H6),IF(H6&lt;=G6,"ok","nc"),"")</f>
        <v>ok</v>
      </c>
      <c r="J6" s="8">
        <f>IF(C5="normal",IF((J5+IF(I6="ok",IF(G6&gt;1,3,2),0))=J5,0,J5+IF(I6="ok",IF(G6&gt;1,3,2),0)),0)</f>
        <v>4</v>
      </c>
      <c r="K6" s="11">
        <f t="shared" ref="K6:K29" si="0">IF(ISNUMBER(H6),IF(I6="ok",0,1),"")</f>
        <v>0</v>
      </c>
      <c r="L6" s="17" t="s">
        <v>18</v>
      </c>
      <c r="M6" s="18"/>
      <c r="N6" s="18"/>
      <c r="O6" s="18" t="s">
        <v>19</v>
      </c>
      <c r="P6" s="18"/>
      <c r="Q6" s="19"/>
      <c r="R6" s="19"/>
      <c r="S6" s="20"/>
    </row>
    <row r="7" spans="1:19" x14ac:dyDescent="0.25">
      <c r="B7" s="8">
        <v>3</v>
      </c>
      <c r="C7" s="8" t="str">
        <f>IF(ISNUMBER(H6),IF(J6&gt;29,"réduit",IF(SUM(K5:K7)&gt;1,"renforcé","normal")),"")</f>
        <v>normal</v>
      </c>
      <c r="D7" s="10">
        <v>250</v>
      </c>
      <c r="E7" s="10" t="s">
        <v>11</v>
      </c>
      <c r="F7" s="10">
        <v>32</v>
      </c>
      <c r="G7" s="10">
        <v>0</v>
      </c>
      <c r="H7" s="10">
        <v>1</v>
      </c>
      <c r="I7" s="8" t="str">
        <f t="shared" ref="I7:I29" si="1">IF(ISNUMBER(H7),IF(H7&lt;=G7,"ok","nc"),"")</f>
        <v>nc</v>
      </c>
      <c r="J7" s="8">
        <f t="shared" ref="J7:J29" si="2">IF(C6="renforcé",0,IF((J6+IF(I7="ok",IF(G7&gt;1,3,2),0))=J6,0,J6+IF(I7="ok",IF(G7&gt;1,3,2),0)))</f>
        <v>0</v>
      </c>
      <c r="K7" s="11">
        <f t="shared" si="0"/>
        <v>1</v>
      </c>
      <c r="L7" s="17" t="s">
        <v>20</v>
      </c>
      <c r="M7" s="18"/>
      <c r="N7" s="18"/>
      <c r="O7" s="18" t="s">
        <v>21</v>
      </c>
      <c r="P7" s="18"/>
      <c r="Q7" s="19"/>
      <c r="R7" s="19"/>
      <c r="S7" s="20"/>
    </row>
    <row r="8" spans="1:19" x14ac:dyDescent="0.25">
      <c r="B8" s="8">
        <v>4</v>
      </c>
      <c r="C8" s="8" t="str">
        <f>IF(ISNUMBER(H7),IF(J7&gt;29,"réduit",IF(SUM(K5:K8)&gt;1,"renforcé","normal")),"")</f>
        <v>normal</v>
      </c>
      <c r="D8" s="10">
        <v>450</v>
      </c>
      <c r="E8" s="10" t="s">
        <v>12</v>
      </c>
      <c r="F8" s="10">
        <v>50</v>
      </c>
      <c r="G8" s="10">
        <v>1</v>
      </c>
      <c r="H8" s="10">
        <v>1</v>
      </c>
      <c r="I8" s="8" t="str">
        <f t="shared" si="1"/>
        <v>ok</v>
      </c>
      <c r="J8" s="8">
        <f t="shared" si="2"/>
        <v>2</v>
      </c>
      <c r="K8" s="11">
        <f t="shared" si="0"/>
        <v>0</v>
      </c>
      <c r="L8" s="21"/>
      <c r="M8" s="22"/>
      <c r="N8" s="22"/>
      <c r="O8" s="22" t="s">
        <v>22</v>
      </c>
      <c r="P8" s="22"/>
      <c r="Q8" s="23"/>
      <c r="R8" s="23"/>
      <c r="S8" s="24"/>
    </row>
    <row r="9" spans="1:19" x14ac:dyDescent="0.25">
      <c r="B9" s="8">
        <v>5</v>
      </c>
      <c r="C9" s="8" t="str">
        <f>IF(ISNUMBER(H8),IF(J8&gt;29,"réduit",IF(SUM(K5:K9)&gt;1,"renforcé","normal")),"")</f>
        <v>normal</v>
      </c>
      <c r="D9" s="10">
        <v>300</v>
      </c>
      <c r="E9" s="10" t="s">
        <v>12</v>
      </c>
      <c r="F9" s="10">
        <v>50</v>
      </c>
      <c r="G9" s="10">
        <v>1</v>
      </c>
      <c r="H9" s="10">
        <v>1</v>
      </c>
      <c r="I9" s="8" t="str">
        <f t="shared" si="1"/>
        <v>ok</v>
      </c>
      <c r="J9" s="8">
        <f t="shared" si="2"/>
        <v>4</v>
      </c>
      <c r="K9" s="11">
        <f t="shared" si="0"/>
        <v>0</v>
      </c>
      <c r="L9" s="12"/>
    </row>
    <row r="10" spans="1:19" x14ac:dyDescent="0.25">
      <c r="B10" s="8">
        <v>6</v>
      </c>
      <c r="C10" s="8" t="str">
        <f>IF(ISNUMBER(H9),IF(J9&gt;29,"réduit",IF(SUM(K5:K9)&gt;1,"renforcé","normal")),"")</f>
        <v>normal</v>
      </c>
      <c r="D10" s="10">
        <v>80</v>
      </c>
      <c r="E10" s="10" t="s">
        <v>13</v>
      </c>
      <c r="F10" s="10">
        <v>13</v>
      </c>
      <c r="G10" s="10">
        <v>0</v>
      </c>
      <c r="H10" s="10">
        <v>1</v>
      </c>
      <c r="I10" s="8" t="str">
        <f t="shared" si="1"/>
        <v>nc</v>
      </c>
      <c r="J10" s="8">
        <f t="shared" si="2"/>
        <v>0</v>
      </c>
      <c r="K10" s="11">
        <f t="shared" si="0"/>
        <v>1</v>
      </c>
      <c r="L10" s="12"/>
    </row>
    <row r="11" spans="1:19" x14ac:dyDescent="0.25">
      <c r="B11" s="8">
        <v>7</v>
      </c>
      <c r="C11" s="8" t="str">
        <f t="shared" ref="C11:C12" si="3">IF(ISNUMBER(H10),IF(J10&gt;29,"réduit",IF(SUM(K3:K10)&gt;1,"renforcé","normal")),"")</f>
        <v>renforcé</v>
      </c>
      <c r="D11" s="10">
        <v>800</v>
      </c>
      <c r="E11" s="10" t="s">
        <v>14</v>
      </c>
      <c r="F11" s="10">
        <v>80</v>
      </c>
      <c r="G11" s="10">
        <v>1</v>
      </c>
      <c r="H11" s="10">
        <v>1</v>
      </c>
      <c r="I11" s="8" t="str">
        <f t="shared" si="1"/>
        <v>ok</v>
      </c>
      <c r="J11" s="8">
        <f t="shared" si="2"/>
        <v>2</v>
      </c>
      <c r="K11" s="11">
        <f t="shared" si="0"/>
        <v>0</v>
      </c>
      <c r="L11" s="12"/>
    </row>
    <row r="12" spans="1:19" x14ac:dyDescent="0.25">
      <c r="B12" s="8">
        <v>8</v>
      </c>
      <c r="C12" s="8" t="str">
        <f t="shared" si="3"/>
        <v>renforcé</v>
      </c>
      <c r="D12" s="10">
        <v>300</v>
      </c>
      <c r="E12" s="10" t="s">
        <v>12</v>
      </c>
      <c r="F12" s="10">
        <v>50</v>
      </c>
      <c r="G12" s="10">
        <v>0</v>
      </c>
      <c r="H12" s="10">
        <v>0</v>
      </c>
      <c r="I12" s="8" t="str">
        <f t="shared" si="1"/>
        <v>ok</v>
      </c>
      <c r="J12" s="8">
        <f t="shared" si="2"/>
        <v>0</v>
      </c>
      <c r="K12" s="11">
        <f t="shared" si="0"/>
        <v>0</v>
      </c>
      <c r="L12" s="12"/>
    </row>
    <row r="13" spans="1:19" x14ac:dyDescent="0.25">
      <c r="B13" s="8">
        <v>9</v>
      </c>
      <c r="C13" s="8" t="str">
        <f>IF(ISNUMBER(H12),IF(J12&gt;29,"réduit",IF(SUM(K5:K12)&gt;1,"renforcé","normal")),"")</f>
        <v>renforcé</v>
      </c>
      <c r="D13" s="10">
        <v>100</v>
      </c>
      <c r="E13" s="10" t="s">
        <v>15</v>
      </c>
      <c r="F13" s="10">
        <v>20</v>
      </c>
      <c r="G13" s="10">
        <v>0</v>
      </c>
      <c r="H13" s="10">
        <v>0</v>
      </c>
      <c r="I13" s="8" t="str">
        <f t="shared" si="1"/>
        <v>ok</v>
      </c>
      <c r="J13" s="8">
        <f t="shared" si="2"/>
        <v>0</v>
      </c>
      <c r="K13" s="11">
        <f t="shared" si="0"/>
        <v>0</v>
      </c>
      <c r="L13" s="12"/>
    </row>
    <row r="14" spans="1:19" x14ac:dyDescent="0.25">
      <c r="B14" s="8">
        <v>10</v>
      </c>
      <c r="C14" s="8" t="str">
        <f>IF(ISNUMBER(H13),IF(J13&gt;29,"réduit",IF(SUM(K6:K13)&gt;1,"renforcé","normal")),"")</f>
        <v>renforcé</v>
      </c>
      <c r="D14" s="10">
        <v>600</v>
      </c>
      <c r="E14" s="10" t="s">
        <v>14</v>
      </c>
      <c r="F14" s="10">
        <v>80</v>
      </c>
      <c r="G14" s="10">
        <v>1</v>
      </c>
      <c r="H14" s="10">
        <v>0</v>
      </c>
      <c r="I14" s="8" t="str">
        <f t="shared" si="1"/>
        <v>ok</v>
      </c>
      <c r="J14" s="8">
        <f t="shared" si="2"/>
        <v>0</v>
      </c>
      <c r="K14" s="11">
        <f t="shared" si="0"/>
        <v>0</v>
      </c>
      <c r="L14" s="12"/>
    </row>
    <row r="15" spans="1:19" x14ac:dyDescent="0.25">
      <c r="B15" s="8">
        <v>11</v>
      </c>
      <c r="C15" s="8" t="str">
        <f>IF(ISNUMBER(H14),IF(J14&gt;29,"réduit",IF(SUM(K7:K14)&gt;1,"renforcé","normal")),"")</f>
        <v>renforcé</v>
      </c>
      <c r="D15" s="10">
        <v>200</v>
      </c>
      <c r="E15" s="10" t="s">
        <v>11</v>
      </c>
      <c r="F15" s="10">
        <v>32</v>
      </c>
      <c r="G15" s="10">
        <v>1</v>
      </c>
      <c r="H15" s="10">
        <v>1</v>
      </c>
      <c r="I15" s="8" t="str">
        <f t="shared" si="1"/>
        <v>ok</v>
      </c>
      <c r="J15" s="8">
        <f t="shared" si="2"/>
        <v>0</v>
      </c>
      <c r="K15" s="11">
        <f t="shared" si="0"/>
        <v>0</v>
      </c>
      <c r="L15" s="12"/>
    </row>
    <row r="16" spans="1:19" x14ac:dyDescent="0.25">
      <c r="B16" s="8">
        <v>12</v>
      </c>
      <c r="C16" s="8" t="str">
        <f>IF(ISNUMBER(H15),IF(J15&gt;29,"réduit",IF(SUM(K8:K15)&gt;1,"renforcé","normal")),"")</f>
        <v>normal</v>
      </c>
      <c r="D16" s="10">
        <v>250</v>
      </c>
      <c r="E16" s="10" t="s">
        <v>11</v>
      </c>
      <c r="F16" s="10">
        <v>32</v>
      </c>
      <c r="G16" s="10">
        <v>0</v>
      </c>
      <c r="H16" s="10">
        <v>0</v>
      </c>
      <c r="I16" s="8" t="str">
        <f t="shared" si="1"/>
        <v>ok</v>
      </c>
      <c r="J16" s="8">
        <f t="shared" si="2"/>
        <v>0</v>
      </c>
      <c r="K16" s="11">
        <f t="shared" si="0"/>
        <v>0</v>
      </c>
      <c r="L16" s="12"/>
    </row>
    <row r="17" spans="2:12" x14ac:dyDescent="0.25">
      <c r="B17" s="8">
        <v>13</v>
      </c>
      <c r="C17" s="8" t="str">
        <f t="shared" ref="C17:C27" si="4">IF(ISNUMBER(H16),IF(J16&gt;29,"réduit",IF(SUM(K9:K16)&gt;1,"renforcé","normal")),"")</f>
        <v>normal</v>
      </c>
      <c r="D17" s="10">
        <v>600</v>
      </c>
      <c r="E17" s="10" t="s">
        <v>14</v>
      </c>
      <c r="F17" s="10">
        <v>80</v>
      </c>
      <c r="G17" s="10">
        <v>2</v>
      </c>
      <c r="H17" s="10">
        <v>1</v>
      </c>
      <c r="I17" s="8" t="str">
        <f t="shared" si="1"/>
        <v>ok</v>
      </c>
      <c r="J17" s="8">
        <f t="shared" si="2"/>
        <v>3</v>
      </c>
      <c r="K17" s="11">
        <f t="shared" si="0"/>
        <v>0</v>
      </c>
      <c r="L17" s="12"/>
    </row>
    <row r="18" spans="2:12" x14ac:dyDescent="0.25">
      <c r="B18" s="8">
        <v>14</v>
      </c>
      <c r="C18" s="8" t="str">
        <f t="shared" si="4"/>
        <v>normal</v>
      </c>
      <c r="D18" s="10">
        <v>600</v>
      </c>
      <c r="E18" s="10" t="s">
        <v>14</v>
      </c>
      <c r="F18" s="10">
        <v>80</v>
      </c>
      <c r="G18" s="10">
        <v>2</v>
      </c>
      <c r="H18" s="10">
        <v>1</v>
      </c>
      <c r="I18" s="8" t="str">
        <f t="shared" si="1"/>
        <v>ok</v>
      </c>
      <c r="J18" s="8">
        <f t="shared" si="2"/>
        <v>6</v>
      </c>
      <c r="K18" s="11">
        <f t="shared" si="0"/>
        <v>0</v>
      </c>
      <c r="L18" s="12"/>
    </row>
    <row r="19" spans="2:12" x14ac:dyDescent="0.25">
      <c r="B19" s="8">
        <v>15</v>
      </c>
      <c r="C19" s="8" t="str">
        <f t="shared" si="4"/>
        <v>normal</v>
      </c>
      <c r="D19" s="10">
        <v>600</v>
      </c>
      <c r="E19" s="10" t="s">
        <v>14</v>
      </c>
      <c r="F19" s="10">
        <v>80</v>
      </c>
      <c r="G19" s="10">
        <v>2</v>
      </c>
      <c r="H19" s="10">
        <v>1</v>
      </c>
      <c r="I19" s="8" t="str">
        <f t="shared" si="1"/>
        <v>ok</v>
      </c>
      <c r="J19" s="8">
        <f>IF(C18="renforcé",0,IF((J18+IF(I19="ok",IF(G19&gt;1,3,2),0))=J18,0,J18+IF(I19="ok",IF(G19&gt;1,3,2),0)))</f>
        <v>9</v>
      </c>
      <c r="K19" s="11">
        <f t="shared" si="0"/>
        <v>0</v>
      </c>
      <c r="L19" s="12"/>
    </row>
    <row r="20" spans="2:12" x14ac:dyDescent="0.25">
      <c r="B20" s="8">
        <v>16</v>
      </c>
      <c r="C20" s="8" t="str">
        <f t="shared" si="4"/>
        <v>normal</v>
      </c>
      <c r="D20" s="10">
        <v>600</v>
      </c>
      <c r="E20" s="10" t="s">
        <v>14</v>
      </c>
      <c r="F20" s="10">
        <v>80</v>
      </c>
      <c r="G20" s="10">
        <v>2</v>
      </c>
      <c r="H20" s="10">
        <v>1</v>
      </c>
      <c r="I20" s="8" t="str">
        <f t="shared" si="1"/>
        <v>ok</v>
      </c>
      <c r="J20" s="8">
        <f t="shared" si="2"/>
        <v>12</v>
      </c>
      <c r="K20" s="11">
        <f t="shared" si="0"/>
        <v>0</v>
      </c>
      <c r="L20" s="12"/>
    </row>
    <row r="21" spans="2:12" x14ac:dyDescent="0.25">
      <c r="B21" s="8">
        <v>17</v>
      </c>
      <c r="C21" s="8" t="str">
        <f t="shared" si="4"/>
        <v>normal</v>
      </c>
      <c r="D21" s="10">
        <v>600</v>
      </c>
      <c r="E21" s="10" t="s">
        <v>14</v>
      </c>
      <c r="F21" s="10">
        <v>80</v>
      </c>
      <c r="G21" s="10">
        <v>2</v>
      </c>
      <c r="H21" s="10">
        <v>1</v>
      </c>
      <c r="I21" s="8" t="str">
        <f t="shared" si="1"/>
        <v>ok</v>
      </c>
      <c r="J21" s="8">
        <f t="shared" si="2"/>
        <v>15</v>
      </c>
      <c r="K21" s="11">
        <f t="shared" si="0"/>
        <v>0</v>
      </c>
      <c r="L21" s="12"/>
    </row>
    <row r="22" spans="2:12" x14ac:dyDescent="0.25">
      <c r="B22" s="8">
        <v>18</v>
      </c>
      <c r="C22" s="8" t="str">
        <f t="shared" si="4"/>
        <v>normal</v>
      </c>
      <c r="D22" s="10">
        <v>600</v>
      </c>
      <c r="E22" s="10" t="s">
        <v>14</v>
      </c>
      <c r="F22" s="10">
        <v>80</v>
      </c>
      <c r="G22" s="10">
        <v>2</v>
      </c>
      <c r="H22" s="10">
        <v>1</v>
      </c>
      <c r="I22" s="8" t="str">
        <f t="shared" si="1"/>
        <v>ok</v>
      </c>
      <c r="J22" s="8">
        <f t="shared" si="2"/>
        <v>18</v>
      </c>
      <c r="K22" s="11">
        <f t="shared" si="0"/>
        <v>0</v>
      </c>
      <c r="L22" s="12"/>
    </row>
    <row r="23" spans="2:12" x14ac:dyDescent="0.25">
      <c r="B23" s="8">
        <v>19</v>
      </c>
      <c r="C23" s="8" t="str">
        <f t="shared" si="4"/>
        <v>normal</v>
      </c>
      <c r="D23" s="10">
        <v>600</v>
      </c>
      <c r="E23" s="10" t="s">
        <v>14</v>
      </c>
      <c r="F23" s="10">
        <v>80</v>
      </c>
      <c r="G23" s="10">
        <v>2</v>
      </c>
      <c r="H23" s="10">
        <v>1</v>
      </c>
      <c r="I23" s="8" t="str">
        <f t="shared" si="1"/>
        <v>ok</v>
      </c>
      <c r="J23" s="8">
        <f t="shared" si="2"/>
        <v>21</v>
      </c>
      <c r="K23" s="11">
        <f t="shared" si="0"/>
        <v>0</v>
      </c>
      <c r="L23" s="12"/>
    </row>
    <row r="24" spans="2:12" x14ac:dyDescent="0.25">
      <c r="B24" s="8">
        <v>20</v>
      </c>
      <c r="C24" s="8" t="str">
        <f t="shared" si="4"/>
        <v>normal</v>
      </c>
      <c r="D24" s="10">
        <v>600</v>
      </c>
      <c r="E24" s="10" t="s">
        <v>14</v>
      </c>
      <c r="F24" s="10">
        <v>80</v>
      </c>
      <c r="G24" s="10">
        <v>1</v>
      </c>
      <c r="H24" s="10">
        <v>0</v>
      </c>
      <c r="I24" s="8" t="str">
        <f t="shared" si="1"/>
        <v>ok</v>
      </c>
      <c r="J24" s="8">
        <f t="shared" si="2"/>
        <v>23</v>
      </c>
      <c r="K24" s="11">
        <f t="shared" si="0"/>
        <v>0</v>
      </c>
      <c r="L24" s="12"/>
    </row>
    <row r="25" spans="2:12" x14ac:dyDescent="0.25">
      <c r="B25" s="8">
        <v>21</v>
      </c>
      <c r="C25" s="8" t="str">
        <f t="shared" si="4"/>
        <v>normal</v>
      </c>
      <c r="D25" s="10">
        <v>600</v>
      </c>
      <c r="E25" s="10" t="s">
        <v>14</v>
      </c>
      <c r="F25" s="10">
        <v>80</v>
      </c>
      <c r="G25" s="10">
        <v>2</v>
      </c>
      <c r="H25" s="10">
        <v>1</v>
      </c>
      <c r="I25" s="8" t="str">
        <f t="shared" si="1"/>
        <v>ok</v>
      </c>
      <c r="J25" s="8">
        <f t="shared" si="2"/>
        <v>26</v>
      </c>
      <c r="K25" s="11">
        <f t="shared" si="0"/>
        <v>0</v>
      </c>
      <c r="L25" s="12"/>
    </row>
    <row r="26" spans="2:12" x14ac:dyDescent="0.25">
      <c r="B26" s="8">
        <v>22</v>
      </c>
      <c r="C26" s="8" t="str">
        <f t="shared" si="4"/>
        <v>normal</v>
      </c>
      <c r="D26" s="10">
        <v>600</v>
      </c>
      <c r="E26" s="10" t="s">
        <v>14</v>
      </c>
      <c r="F26" s="10">
        <v>80</v>
      </c>
      <c r="G26" s="10">
        <v>2</v>
      </c>
      <c r="H26" s="10">
        <v>1</v>
      </c>
      <c r="I26" s="8" t="str">
        <f t="shared" si="1"/>
        <v>ok</v>
      </c>
      <c r="J26" s="8">
        <f t="shared" si="2"/>
        <v>29</v>
      </c>
      <c r="K26" s="11">
        <f t="shared" si="0"/>
        <v>0</v>
      </c>
      <c r="L26" s="12"/>
    </row>
    <row r="27" spans="2:12" x14ac:dyDescent="0.25">
      <c r="B27" s="8">
        <v>23</v>
      </c>
      <c r="C27" s="8" t="str">
        <f t="shared" si="4"/>
        <v>normal</v>
      </c>
      <c r="D27" s="10">
        <v>600</v>
      </c>
      <c r="E27" s="10" t="s">
        <v>14</v>
      </c>
      <c r="F27" s="10">
        <v>80</v>
      </c>
      <c r="G27" s="10">
        <v>2</v>
      </c>
      <c r="H27" s="10">
        <v>1</v>
      </c>
      <c r="I27" s="8" t="str">
        <f t="shared" si="1"/>
        <v>ok</v>
      </c>
      <c r="J27" s="8">
        <f t="shared" si="2"/>
        <v>32</v>
      </c>
      <c r="K27" s="11">
        <f t="shared" si="0"/>
        <v>0</v>
      </c>
      <c r="L27" s="12"/>
    </row>
    <row r="28" spans="2:12" x14ac:dyDescent="0.25">
      <c r="B28" s="8">
        <v>24</v>
      </c>
      <c r="C28" s="8" t="str">
        <f>IF(ISNUMBER(H27),IF(J27&gt;29,"réduit",IF(SUM(K20:K27)&gt;1,"renforcé","normal")),"")</f>
        <v>réduit</v>
      </c>
      <c r="D28" s="10"/>
      <c r="E28" s="10"/>
      <c r="F28" s="10"/>
      <c r="G28" s="10"/>
      <c r="H28" s="10"/>
      <c r="I28" s="8" t="str">
        <f t="shared" si="1"/>
        <v/>
      </c>
      <c r="J28" s="8">
        <f t="shared" si="2"/>
        <v>0</v>
      </c>
      <c r="K28" s="11" t="str">
        <f t="shared" si="0"/>
        <v/>
      </c>
      <c r="L28" s="12"/>
    </row>
    <row r="29" spans="2:12" x14ac:dyDescent="0.25">
      <c r="B29" s="8">
        <v>25</v>
      </c>
      <c r="C29" s="8" t="str">
        <f t="shared" ref="C29" si="5">IF(ISNUMBER(H29),IF(J29&gt;29,"réduit",IF(SUM(K21:K28)&gt;1,"renforcé","normal")),"")</f>
        <v/>
      </c>
      <c r="D29" s="10"/>
      <c r="E29" s="10"/>
      <c r="F29" s="10"/>
      <c r="G29" s="10"/>
      <c r="H29" s="10"/>
      <c r="I29" s="8" t="str">
        <f t="shared" si="1"/>
        <v/>
      </c>
      <c r="J29" s="8">
        <f t="shared" si="2"/>
        <v>0</v>
      </c>
      <c r="K29" s="11" t="str">
        <f t="shared" si="0"/>
        <v/>
      </c>
      <c r="L29" s="12"/>
    </row>
    <row r="30" spans="2:12" x14ac:dyDescent="0.25">
      <c r="B30" s="8">
        <v>26</v>
      </c>
      <c r="C30" s="8" t="str">
        <f t="shared" ref="C30" si="6">IF(ISNUMBER(H29),IF(J29&gt;29,"réduit",IF(SUM(K22:K29)&gt;1,"renforcé","normal")),"")</f>
        <v/>
      </c>
      <c r="D30" s="10"/>
      <c r="E30" s="10"/>
      <c r="F30" s="10"/>
      <c r="G30" s="10"/>
      <c r="H30" s="10"/>
      <c r="I30" s="8" t="str">
        <f t="shared" ref="I30:I93" si="7">IF(ISNUMBER(H30),IF(H30&lt;=G30,"ok","nc"),"")</f>
        <v/>
      </c>
      <c r="J30" s="8">
        <f t="shared" ref="J30:J93" si="8">IF(C29="renforcé",0,IF((J29+IF(I30="ok",IF(G30&gt;1,3,2),0))=J29,0,J29+IF(I30="ok",IF(G30&gt;1,3,2),0)))</f>
        <v>0</v>
      </c>
      <c r="K30" s="11" t="str">
        <f t="shared" ref="K30:K93" si="9">IF(ISNUMBER(H30),IF(I30="ok",0,1),"")</f>
        <v/>
      </c>
    </row>
    <row r="31" spans="2:12" x14ac:dyDescent="0.25">
      <c r="B31" s="8">
        <v>27</v>
      </c>
      <c r="C31" s="8" t="str">
        <f t="shared" ref="C31" si="10">IF(ISNUMBER(H31),IF(J31&gt;29,"réduit",IF(SUM(K23:K30)&gt;1,"renforcé","normal")),"")</f>
        <v/>
      </c>
      <c r="D31" s="10"/>
      <c r="E31" s="10"/>
      <c r="F31" s="10"/>
      <c r="G31" s="10"/>
      <c r="H31" s="10"/>
      <c r="I31" s="8" t="str">
        <f t="shared" si="7"/>
        <v/>
      </c>
      <c r="J31" s="8">
        <f t="shared" si="8"/>
        <v>0</v>
      </c>
      <c r="K31" s="11" t="str">
        <f t="shared" si="9"/>
        <v/>
      </c>
    </row>
    <row r="32" spans="2:12" x14ac:dyDescent="0.25">
      <c r="B32" s="8">
        <v>28</v>
      </c>
      <c r="C32" s="8" t="str">
        <f t="shared" ref="C32" si="11">IF(ISNUMBER(H31),IF(J31&gt;29,"réduit",IF(SUM(K24:K31)&gt;1,"renforcé","normal")),"")</f>
        <v/>
      </c>
      <c r="D32" s="10"/>
      <c r="E32" s="10"/>
      <c r="F32" s="10"/>
      <c r="G32" s="10"/>
      <c r="H32" s="10"/>
      <c r="I32" s="8" t="str">
        <f t="shared" si="7"/>
        <v/>
      </c>
      <c r="J32" s="8">
        <f t="shared" si="8"/>
        <v>0</v>
      </c>
      <c r="K32" s="11" t="str">
        <f t="shared" si="9"/>
        <v/>
      </c>
    </row>
    <row r="33" spans="2:11" x14ac:dyDescent="0.25">
      <c r="B33" s="8">
        <v>29</v>
      </c>
      <c r="C33" s="8" t="str">
        <f t="shared" ref="C33" si="12">IF(ISNUMBER(H33),IF(J33&gt;29,"réduit",IF(SUM(K25:K32)&gt;1,"renforcé","normal")),"")</f>
        <v/>
      </c>
      <c r="D33" s="10"/>
      <c r="E33" s="10"/>
      <c r="F33" s="10"/>
      <c r="G33" s="10"/>
      <c r="H33" s="10"/>
      <c r="I33" s="8" t="str">
        <f t="shared" si="7"/>
        <v/>
      </c>
      <c r="J33" s="8">
        <f t="shared" si="8"/>
        <v>0</v>
      </c>
      <c r="K33" s="11" t="str">
        <f t="shared" si="9"/>
        <v/>
      </c>
    </row>
    <row r="34" spans="2:11" customFormat="1" x14ac:dyDescent="0.25">
      <c r="B34" s="8">
        <v>30</v>
      </c>
      <c r="C34" s="8" t="str">
        <f t="shared" ref="C34" si="13">IF(ISNUMBER(H33),IF(J33&gt;29,"réduit",IF(SUM(K26:K33)&gt;1,"renforcé","normal")),"")</f>
        <v/>
      </c>
      <c r="D34" s="10"/>
      <c r="E34" s="10"/>
      <c r="F34" s="10"/>
      <c r="G34" s="10"/>
      <c r="H34" s="10"/>
      <c r="I34" s="8" t="str">
        <f t="shared" si="7"/>
        <v/>
      </c>
      <c r="J34" s="8">
        <f t="shared" si="8"/>
        <v>0</v>
      </c>
      <c r="K34" s="11" t="str">
        <f t="shared" si="9"/>
        <v/>
      </c>
    </row>
    <row r="35" spans="2:11" customFormat="1" x14ac:dyDescent="0.25">
      <c r="B35" s="8">
        <v>31</v>
      </c>
      <c r="C35" s="8" t="str">
        <f t="shared" ref="C35" si="14">IF(ISNUMBER(H35),IF(J35&gt;29,"réduit",IF(SUM(K27:K34)&gt;1,"renforcé","normal")),"")</f>
        <v/>
      </c>
      <c r="D35" s="10"/>
      <c r="E35" s="10"/>
      <c r="F35" s="10"/>
      <c r="G35" s="10"/>
      <c r="H35" s="10"/>
      <c r="I35" s="8" t="str">
        <f t="shared" si="7"/>
        <v/>
      </c>
      <c r="J35" s="8">
        <f t="shared" si="8"/>
        <v>0</v>
      </c>
      <c r="K35" s="11" t="str">
        <f t="shared" si="9"/>
        <v/>
      </c>
    </row>
    <row r="36" spans="2:11" customFormat="1" x14ac:dyDescent="0.25">
      <c r="B36" s="8">
        <v>32</v>
      </c>
      <c r="C36" s="8" t="str">
        <f t="shared" ref="C36" si="15">IF(ISNUMBER(H35),IF(J35&gt;29,"réduit",IF(SUM(K28:K35)&gt;1,"renforcé","normal")),"")</f>
        <v/>
      </c>
      <c r="D36" s="10"/>
      <c r="E36" s="10"/>
      <c r="F36" s="10"/>
      <c r="G36" s="10"/>
      <c r="H36" s="10"/>
      <c r="I36" s="8" t="str">
        <f t="shared" si="7"/>
        <v/>
      </c>
      <c r="J36" s="8">
        <f t="shared" si="8"/>
        <v>0</v>
      </c>
      <c r="K36" s="11" t="str">
        <f t="shared" si="9"/>
        <v/>
      </c>
    </row>
    <row r="37" spans="2:11" customFormat="1" x14ac:dyDescent="0.25">
      <c r="B37" s="8">
        <v>33</v>
      </c>
      <c r="C37" s="8" t="str">
        <f t="shared" ref="C37" si="16">IF(ISNUMBER(H37),IF(J37&gt;29,"réduit",IF(SUM(K29:K36)&gt;1,"renforcé","normal")),"")</f>
        <v/>
      </c>
      <c r="D37" s="10"/>
      <c r="E37" s="10"/>
      <c r="F37" s="10"/>
      <c r="G37" s="10"/>
      <c r="H37" s="10"/>
      <c r="I37" s="8" t="str">
        <f t="shared" si="7"/>
        <v/>
      </c>
      <c r="J37" s="8">
        <f t="shared" si="8"/>
        <v>0</v>
      </c>
      <c r="K37" s="11" t="str">
        <f t="shared" si="9"/>
        <v/>
      </c>
    </row>
    <row r="38" spans="2:11" customFormat="1" x14ac:dyDescent="0.25">
      <c r="B38" s="8">
        <v>34</v>
      </c>
      <c r="C38" s="8" t="str">
        <f t="shared" ref="C38" si="17">IF(ISNUMBER(H37),IF(J37&gt;29,"réduit",IF(SUM(K30:K37)&gt;1,"renforcé","normal")),"")</f>
        <v/>
      </c>
      <c r="D38" s="10"/>
      <c r="E38" s="10"/>
      <c r="F38" s="10"/>
      <c r="G38" s="10"/>
      <c r="H38" s="10"/>
      <c r="I38" s="8" t="str">
        <f t="shared" si="7"/>
        <v/>
      </c>
      <c r="J38" s="8">
        <f t="shared" si="8"/>
        <v>0</v>
      </c>
      <c r="K38" s="11" t="str">
        <f t="shared" si="9"/>
        <v/>
      </c>
    </row>
    <row r="39" spans="2:11" customFormat="1" x14ac:dyDescent="0.25">
      <c r="B39" s="8">
        <v>35</v>
      </c>
      <c r="C39" s="8" t="str">
        <f t="shared" ref="C39" si="18">IF(ISNUMBER(H39),IF(J39&gt;29,"réduit",IF(SUM(K31:K38)&gt;1,"renforcé","normal")),"")</f>
        <v/>
      </c>
      <c r="D39" s="10"/>
      <c r="E39" s="10"/>
      <c r="F39" s="10"/>
      <c r="G39" s="10"/>
      <c r="H39" s="10"/>
      <c r="I39" s="8" t="str">
        <f t="shared" si="7"/>
        <v/>
      </c>
      <c r="J39" s="8">
        <f t="shared" si="8"/>
        <v>0</v>
      </c>
      <c r="K39" s="11" t="str">
        <f t="shared" si="9"/>
        <v/>
      </c>
    </row>
    <row r="40" spans="2:11" customFormat="1" x14ac:dyDescent="0.25">
      <c r="B40" s="8">
        <v>36</v>
      </c>
      <c r="C40" s="8" t="str">
        <f t="shared" ref="C40" si="19">IF(ISNUMBER(H39),IF(J39&gt;29,"réduit",IF(SUM(K32:K39)&gt;1,"renforcé","normal")),"")</f>
        <v/>
      </c>
      <c r="D40" s="10"/>
      <c r="E40" s="10"/>
      <c r="F40" s="10"/>
      <c r="G40" s="10"/>
      <c r="H40" s="10"/>
      <c r="I40" s="8" t="str">
        <f t="shared" si="7"/>
        <v/>
      </c>
      <c r="J40" s="8">
        <f t="shared" si="8"/>
        <v>0</v>
      </c>
      <c r="K40" s="11" t="str">
        <f t="shared" si="9"/>
        <v/>
      </c>
    </row>
    <row r="41" spans="2:11" customFormat="1" x14ac:dyDescent="0.25">
      <c r="B41" s="8">
        <v>37</v>
      </c>
      <c r="C41" s="8" t="str">
        <f t="shared" ref="C41" si="20">IF(ISNUMBER(H41),IF(J41&gt;29,"réduit",IF(SUM(K33:K40)&gt;1,"renforcé","normal")),"")</f>
        <v/>
      </c>
      <c r="D41" s="10"/>
      <c r="E41" s="10"/>
      <c r="F41" s="10"/>
      <c r="G41" s="10"/>
      <c r="H41" s="10"/>
      <c r="I41" s="8" t="str">
        <f t="shared" si="7"/>
        <v/>
      </c>
      <c r="J41" s="8">
        <f t="shared" si="8"/>
        <v>0</v>
      </c>
      <c r="K41" s="11" t="str">
        <f t="shared" si="9"/>
        <v/>
      </c>
    </row>
    <row r="42" spans="2:11" x14ac:dyDescent="0.25">
      <c r="B42" s="8">
        <v>38</v>
      </c>
      <c r="C42" s="8" t="str">
        <f t="shared" ref="C42" si="21">IF(ISNUMBER(H41),IF(J41&gt;29,"réduit",IF(SUM(K34:K41)&gt;1,"renforcé","normal")),"")</f>
        <v/>
      </c>
      <c r="D42" s="10"/>
      <c r="E42" s="10"/>
      <c r="F42" s="10"/>
      <c r="G42" s="10"/>
      <c r="H42" s="10"/>
      <c r="I42" s="8" t="str">
        <f t="shared" si="7"/>
        <v/>
      </c>
      <c r="J42" s="8">
        <f t="shared" si="8"/>
        <v>0</v>
      </c>
      <c r="K42" s="11" t="str">
        <f t="shared" si="9"/>
        <v/>
      </c>
    </row>
    <row r="43" spans="2:11" x14ac:dyDescent="0.25">
      <c r="B43" s="8">
        <v>39</v>
      </c>
      <c r="C43" s="8" t="str">
        <f t="shared" ref="C43" si="22">IF(ISNUMBER(H43),IF(J43&gt;29,"réduit",IF(SUM(K35:K42)&gt;1,"renforcé","normal")),"")</f>
        <v/>
      </c>
      <c r="D43" s="10"/>
      <c r="E43" s="10"/>
      <c r="F43" s="10"/>
      <c r="G43" s="10"/>
      <c r="H43" s="10"/>
      <c r="I43" s="8" t="str">
        <f t="shared" si="7"/>
        <v/>
      </c>
      <c r="J43" s="8">
        <f t="shared" si="8"/>
        <v>0</v>
      </c>
      <c r="K43" s="11" t="str">
        <f t="shared" si="9"/>
        <v/>
      </c>
    </row>
    <row r="44" spans="2:11" x14ac:dyDescent="0.25">
      <c r="B44" s="8">
        <v>40</v>
      </c>
      <c r="C44" s="8" t="str">
        <f t="shared" ref="C44" si="23">IF(ISNUMBER(H43),IF(J43&gt;29,"réduit",IF(SUM(K36:K43)&gt;1,"renforcé","normal")),"")</f>
        <v/>
      </c>
      <c r="D44" s="10"/>
      <c r="E44" s="10"/>
      <c r="F44" s="10"/>
      <c r="G44" s="10"/>
      <c r="H44" s="10"/>
      <c r="I44" s="8" t="str">
        <f t="shared" si="7"/>
        <v/>
      </c>
      <c r="J44" s="8">
        <f t="shared" si="8"/>
        <v>0</v>
      </c>
      <c r="K44" s="11" t="str">
        <f t="shared" si="9"/>
        <v/>
      </c>
    </row>
    <row r="45" spans="2:11" x14ac:dyDescent="0.25">
      <c r="B45" s="8">
        <v>41</v>
      </c>
      <c r="C45" s="8" t="str">
        <f t="shared" ref="C45" si="24">IF(ISNUMBER(H45),IF(J45&gt;29,"réduit",IF(SUM(K37:K44)&gt;1,"renforcé","normal")),"")</f>
        <v/>
      </c>
      <c r="D45" s="10"/>
      <c r="E45" s="10"/>
      <c r="F45" s="10"/>
      <c r="G45" s="10"/>
      <c r="H45" s="10"/>
      <c r="I45" s="8" t="str">
        <f t="shared" si="7"/>
        <v/>
      </c>
      <c r="J45" s="8">
        <f t="shared" si="8"/>
        <v>0</v>
      </c>
      <c r="K45" s="11" t="str">
        <f t="shared" si="9"/>
        <v/>
      </c>
    </row>
    <row r="46" spans="2:11" x14ac:dyDescent="0.25">
      <c r="B46" s="8">
        <v>42</v>
      </c>
      <c r="C46" s="8" t="str">
        <f t="shared" ref="C46" si="25">IF(ISNUMBER(H45),IF(J45&gt;29,"réduit",IF(SUM(K38:K45)&gt;1,"renforcé","normal")),"")</f>
        <v/>
      </c>
      <c r="D46" s="10"/>
      <c r="E46" s="10"/>
      <c r="F46" s="10"/>
      <c r="G46" s="10"/>
      <c r="H46" s="10"/>
      <c r="I46" s="8" t="str">
        <f t="shared" si="7"/>
        <v/>
      </c>
      <c r="J46" s="8">
        <f t="shared" si="8"/>
        <v>0</v>
      </c>
      <c r="K46" s="11" t="str">
        <f t="shared" si="9"/>
        <v/>
      </c>
    </row>
    <row r="47" spans="2:11" x14ac:dyDescent="0.25">
      <c r="B47" s="8">
        <v>43</v>
      </c>
      <c r="C47" s="8" t="str">
        <f t="shared" ref="C47" si="26">IF(ISNUMBER(H47),IF(J47&gt;29,"réduit",IF(SUM(K39:K46)&gt;1,"renforcé","normal")),"")</f>
        <v/>
      </c>
      <c r="D47" s="10"/>
      <c r="E47" s="10"/>
      <c r="F47" s="10"/>
      <c r="G47" s="10"/>
      <c r="H47" s="10"/>
      <c r="I47" s="8" t="str">
        <f t="shared" si="7"/>
        <v/>
      </c>
      <c r="J47" s="8">
        <f t="shared" si="8"/>
        <v>0</v>
      </c>
      <c r="K47" s="11" t="str">
        <f t="shared" si="9"/>
        <v/>
      </c>
    </row>
    <row r="48" spans="2:11" x14ac:dyDescent="0.25">
      <c r="B48" s="8">
        <v>44</v>
      </c>
      <c r="C48" s="8" t="str">
        <f t="shared" ref="C48" si="27">IF(ISNUMBER(H47),IF(J47&gt;29,"réduit",IF(SUM(K40:K47)&gt;1,"renforcé","normal")),"")</f>
        <v/>
      </c>
      <c r="D48" s="10"/>
      <c r="E48" s="10"/>
      <c r="F48" s="10"/>
      <c r="G48" s="10"/>
      <c r="H48" s="10"/>
      <c r="I48" s="8" t="str">
        <f t="shared" si="7"/>
        <v/>
      </c>
      <c r="J48" s="8">
        <f t="shared" si="8"/>
        <v>0</v>
      </c>
      <c r="K48" s="11" t="str">
        <f t="shared" si="9"/>
        <v/>
      </c>
    </row>
    <row r="49" spans="2:11" x14ac:dyDescent="0.25">
      <c r="B49" s="8">
        <v>45</v>
      </c>
      <c r="C49" s="8" t="str">
        <f t="shared" ref="C49" si="28">IF(ISNUMBER(H49),IF(J49&gt;29,"réduit",IF(SUM(K41:K48)&gt;1,"renforcé","normal")),"")</f>
        <v/>
      </c>
      <c r="D49" s="10"/>
      <c r="E49" s="10"/>
      <c r="F49" s="10"/>
      <c r="G49" s="10"/>
      <c r="H49" s="10"/>
      <c r="I49" s="8" t="str">
        <f t="shared" si="7"/>
        <v/>
      </c>
      <c r="J49" s="8">
        <f t="shared" si="8"/>
        <v>0</v>
      </c>
      <c r="K49" s="11" t="str">
        <f t="shared" si="9"/>
        <v/>
      </c>
    </row>
    <row r="50" spans="2:11" x14ac:dyDescent="0.25">
      <c r="B50" s="8">
        <v>46</v>
      </c>
      <c r="C50" s="8" t="str">
        <f t="shared" ref="C50" si="29">IF(ISNUMBER(H49),IF(J49&gt;29,"réduit",IF(SUM(K42:K49)&gt;1,"renforcé","normal")),"")</f>
        <v/>
      </c>
      <c r="D50" s="10"/>
      <c r="E50" s="10"/>
      <c r="F50" s="10"/>
      <c r="G50" s="10"/>
      <c r="H50" s="10"/>
      <c r="I50" s="8" t="str">
        <f t="shared" si="7"/>
        <v/>
      </c>
      <c r="J50" s="8">
        <f t="shared" si="8"/>
        <v>0</v>
      </c>
      <c r="K50" s="11" t="str">
        <f t="shared" si="9"/>
        <v/>
      </c>
    </row>
    <row r="51" spans="2:11" x14ac:dyDescent="0.25">
      <c r="B51" s="8">
        <v>47</v>
      </c>
      <c r="C51" s="8" t="str">
        <f t="shared" ref="C51" si="30">IF(ISNUMBER(H51),IF(J51&gt;29,"réduit",IF(SUM(K43:K50)&gt;1,"renforcé","normal")),"")</f>
        <v/>
      </c>
      <c r="D51" s="10"/>
      <c r="E51" s="10"/>
      <c r="F51" s="10"/>
      <c r="G51" s="10"/>
      <c r="H51" s="10"/>
      <c r="I51" s="8" t="str">
        <f t="shared" si="7"/>
        <v/>
      </c>
      <c r="J51" s="8">
        <f t="shared" si="8"/>
        <v>0</v>
      </c>
      <c r="K51" s="11" t="str">
        <f t="shared" si="9"/>
        <v/>
      </c>
    </row>
    <row r="52" spans="2:11" x14ac:dyDescent="0.25">
      <c r="B52" s="8">
        <v>48</v>
      </c>
      <c r="C52" s="8" t="str">
        <f t="shared" ref="C52" si="31">IF(ISNUMBER(H51),IF(J51&gt;29,"réduit",IF(SUM(K44:K51)&gt;1,"renforcé","normal")),"")</f>
        <v/>
      </c>
      <c r="D52" s="10"/>
      <c r="E52" s="10"/>
      <c r="F52" s="10"/>
      <c r="G52" s="10"/>
      <c r="H52" s="10"/>
      <c r="I52" s="8" t="str">
        <f t="shared" si="7"/>
        <v/>
      </c>
      <c r="J52" s="8">
        <f t="shared" si="8"/>
        <v>0</v>
      </c>
      <c r="K52" s="11" t="str">
        <f t="shared" si="9"/>
        <v/>
      </c>
    </row>
    <row r="53" spans="2:11" x14ac:dyDescent="0.25">
      <c r="B53" s="8">
        <v>49</v>
      </c>
      <c r="C53" s="8" t="str">
        <f t="shared" ref="C53" si="32">IF(ISNUMBER(H53),IF(J53&gt;29,"réduit",IF(SUM(K45:K52)&gt;1,"renforcé","normal")),"")</f>
        <v/>
      </c>
      <c r="D53" s="10"/>
      <c r="E53" s="10"/>
      <c r="F53" s="10"/>
      <c r="G53" s="10"/>
      <c r="H53" s="10"/>
      <c r="I53" s="8" t="str">
        <f t="shared" si="7"/>
        <v/>
      </c>
      <c r="J53" s="8">
        <f t="shared" si="8"/>
        <v>0</v>
      </c>
      <c r="K53" s="11" t="str">
        <f t="shared" si="9"/>
        <v/>
      </c>
    </row>
    <row r="54" spans="2:11" x14ac:dyDescent="0.25">
      <c r="B54" s="8">
        <v>50</v>
      </c>
      <c r="C54" s="8" t="str">
        <f t="shared" ref="C54" si="33">IF(ISNUMBER(H53),IF(J53&gt;29,"réduit",IF(SUM(K46:K53)&gt;1,"renforcé","normal")),"")</f>
        <v/>
      </c>
      <c r="D54" s="10"/>
      <c r="E54" s="10"/>
      <c r="F54" s="10"/>
      <c r="G54" s="10"/>
      <c r="H54" s="10"/>
      <c r="I54" s="8" t="str">
        <f t="shared" si="7"/>
        <v/>
      </c>
      <c r="J54" s="8">
        <f t="shared" si="8"/>
        <v>0</v>
      </c>
      <c r="K54" s="11" t="str">
        <f t="shared" si="9"/>
        <v/>
      </c>
    </row>
    <row r="55" spans="2:11" x14ac:dyDescent="0.25">
      <c r="B55" s="8">
        <v>51</v>
      </c>
      <c r="C55" s="8" t="str">
        <f t="shared" ref="C55" si="34">IF(ISNUMBER(H55),IF(J55&gt;29,"réduit",IF(SUM(K47:K54)&gt;1,"renforcé","normal")),"")</f>
        <v/>
      </c>
      <c r="D55" s="10"/>
      <c r="E55" s="10"/>
      <c r="F55" s="10"/>
      <c r="G55" s="10"/>
      <c r="H55" s="10"/>
      <c r="I55" s="8" t="str">
        <f t="shared" si="7"/>
        <v/>
      </c>
      <c r="J55" s="8">
        <f t="shared" si="8"/>
        <v>0</v>
      </c>
      <c r="K55" s="11" t="str">
        <f t="shared" si="9"/>
        <v/>
      </c>
    </row>
    <row r="56" spans="2:11" x14ac:dyDescent="0.25">
      <c r="B56" s="8">
        <v>52</v>
      </c>
      <c r="C56" s="8" t="str">
        <f t="shared" ref="C56" si="35">IF(ISNUMBER(H55),IF(J55&gt;29,"réduit",IF(SUM(K48:K55)&gt;1,"renforcé","normal")),"")</f>
        <v/>
      </c>
      <c r="D56" s="10"/>
      <c r="E56" s="10"/>
      <c r="F56" s="10"/>
      <c r="G56" s="10"/>
      <c r="H56" s="10"/>
      <c r="I56" s="8" t="str">
        <f t="shared" si="7"/>
        <v/>
      </c>
      <c r="J56" s="8">
        <f t="shared" si="8"/>
        <v>0</v>
      </c>
      <c r="K56" s="11" t="str">
        <f t="shared" si="9"/>
        <v/>
      </c>
    </row>
    <row r="57" spans="2:11" x14ac:dyDescent="0.25">
      <c r="B57" s="8">
        <v>53</v>
      </c>
      <c r="C57" s="8" t="str">
        <f t="shared" ref="C57" si="36">IF(ISNUMBER(H57),IF(J57&gt;29,"réduit",IF(SUM(K49:K56)&gt;1,"renforcé","normal")),"")</f>
        <v/>
      </c>
      <c r="D57" s="10"/>
      <c r="E57" s="10"/>
      <c r="F57" s="10"/>
      <c r="G57" s="10"/>
      <c r="H57" s="10"/>
      <c r="I57" s="8" t="str">
        <f t="shared" si="7"/>
        <v/>
      </c>
      <c r="J57" s="8">
        <f t="shared" si="8"/>
        <v>0</v>
      </c>
      <c r="K57" s="11" t="str">
        <f t="shared" si="9"/>
        <v/>
      </c>
    </row>
    <row r="58" spans="2:11" x14ac:dyDescent="0.25">
      <c r="B58" s="8">
        <v>54</v>
      </c>
      <c r="C58" s="8" t="str">
        <f t="shared" ref="C58" si="37">IF(ISNUMBER(H57),IF(J57&gt;29,"réduit",IF(SUM(K50:K57)&gt;1,"renforcé","normal")),"")</f>
        <v/>
      </c>
      <c r="D58" s="10"/>
      <c r="E58" s="10"/>
      <c r="F58" s="10"/>
      <c r="G58" s="10"/>
      <c r="H58" s="10"/>
      <c r="I58" s="8" t="str">
        <f t="shared" si="7"/>
        <v/>
      </c>
      <c r="J58" s="8">
        <f t="shared" si="8"/>
        <v>0</v>
      </c>
      <c r="K58" s="11" t="str">
        <f t="shared" si="9"/>
        <v/>
      </c>
    </row>
    <row r="59" spans="2:11" x14ac:dyDescent="0.25">
      <c r="B59" s="8">
        <v>55</v>
      </c>
      <c r="C59" s="8" t="str">
        <f t="shared" ref="C59" si="38">IF(ISNUMBER(H59),IF(J59&gt;29,"réduit",IF(SUM(K51:K58)&gt;1,"renforcé","normal")),"")</f>
        <v/>
      </c>
      <c r="D59" s="10"/>
      <c r="E59" s="10"/>
      <c r="F59" s="10"/>
      <c r="G59" s="10"/>
      <c r="H59" s="10"/>
      <c r="I59" s="8" t="str">
        <f t="shared" si="7"/>
        <v/>
      </c>
      <c r="J59" s="8">
        <f t="shared" si="8"/>
        <v>0</v>
      </c>
      <c r="K59" s="11" t="str">
        <f t="shared" si="9"/>
        <v/>
      </c>
    </row>
    <row r="60" spans="2:11" x14ac:dyDescent="0.25">
      <c r="B60" s="8">
        <v>56</v>
      </c>
      <c r="C60" s="8" t="str">
        <f t="shared" ref="C60" si="39">IF(ISNUMBER(H59),IF(J59&gt;29,"réduit",IF(SUM(K52:K59)&gt;1,"renforcé","normal")),"")</f>
        <v/>
      </c>
      <c r="D60" s="10"/>
      <c r="E60" s="10"/>
      <c r="F60" s="10"/>
      <c r="G60" s="10"/>
      <c r="H60" s="10"/>
      <c r="I60" s="8" t="str">
        <f t="shared" si="7"/>
        <v/>
      </c>
      <c r="J60" s="8">
        <f t="shared" si="8"/>
        <v>0</v>
      </c>
      <c r="K60" s="11" t="str">
        <f t="shared" si="9"/>
        <v/>
      </c>
    </row>
    <row r="61" spans="2:11" x14ac:dyDescent="0.25">
      <c r="B61" s="8">
        <v>57</v>
      </c>
      <c r="C61" s="8" t="str">
        <f t="shared" ref="C61" si="40">IF(ISNUMBER(H61),IF(J61&gt;29,"réduit",IF(SUM(K53:K60)&gt;1,"renforcé","normal")),"")</f>
        <v/>
      </c>
      <c r="D61" s="10"/>
      <c r="E61" s="10"/>
      <c r="F61" s="10"/>
      <c r="G61" s="10"/>
      <c r="H61" s="10"/>
      <c r="I61" s="8" t="str">
        <f t="shared" si="7"/>
        <v/>
      </c>
      <c r="J61" s="8">
        <f t="shared" si="8"/>
        <v>0</v>
      </c>
      <c r="K61" s="11" t="str">
        <f t="shared" si="9"/>
        <v/>
      </c>
    </row>
    <row r="62" spans="2:11" x14ac:dyDescent="0.25">
      <c r="B62" s="8">
        <v>58</v>
      </c>
      <c r="C62" s="8" t="str">
        <f t="shared" ref="C62" si="41">IF(ISNUMBER(H61),IF(J61&gt;29,"réduit",IF(SUM(K54:K61)&gt;1,"renforcé","normal")),"")</f>
        <v/>
      </c>
      <c r="D62" s="10"/>
      <c r="E62" s="10"/>
      <c r="F62" s="10"/>
      <c r="G62" s="10"/>
      <c r="H62" s="10"/>
      <c r="I62" s="8" t="str">
        <f t="shared" si="7"/>
        <v/>
      </c>
      <c r="J62" s="8">
        <f t="shared" si="8"/>
        <v>0</v>
      </c>
      <c r="K62" s="11" t="str">
        <f t="shared" si="9"/>
        <v/>
      </c>
    </row>
    <row r="63" spans="2:11" x14ac:dyDescent="0.25">
      <c r="B63" s="8">
        <v>59</v>
      </c>
      <c r="C63" s="8" t="str">
        <f t="shared" ref="C63" si="42">IF(ISNUMBER(H63),IF(J63&gt;29,"réduit",IF(SUM(K55:K62)&gt;1,"renforcé","normal")),"")</f>
        <v/>
      </c>
      <c r="D63" s="10"/>
      <c r="E63" s="10"/>
      <c r="F63" s="10"/>
      <c r="G63" s="10"/>
      <c r="H63" s="10"/>
      <c r="I63" s="8" t="str">
        <f t="shared" si="7"/>
        <v/>
      </c>
      <c r="J63" s="8">
        <f t="shared" si="8"/>
        <v>0</v>
      </c>
      <c r="K63" s="11" t="str">
        <f t="shared" si="9"/>
        <v/>
      </c>
    </row>
    <row r="64" spans="2:11" x14ac:dyDescent="0.25">
      <c r="B64" s="8">
        <v>60</v>
      </c>
      <c r="C64" s="8" t="str">
        <f t="shared" ref="C64" si="43">IF(ISNUMBER(H63),IF(J63&gt;29,"réduit",IF(SUM(K56:K63)&gt;1,"renforcé","normal")),"")</f>
        <v/>
      </c>
      <c r="D64" s="10"/>
      <c r="E64" s="10"/>
      <c r="F64" s="10"/>
      <c r="G64" s="10"/>
      <c r="H64" s="10"/>
      <c r="I64" s="8" t="str">
        <f t="shared" si="7"/>
        <v/>
      </c>
      <c r="J64" s="8">
        <f t="shared" si="8"/>
        <v>0</v>
      </c>
      <c r="K64" s="11" t="str">
        <f t="shared" si="9"/>
        <v/>
      </c>
    </row>
    <row r="65" spans="2:11" x14ac:dyDescent="0.25">
      <c r="B65" s="8">
        <v>61</v>
      </c>
      <c r="C65" s="8" t="str">
        <f t="shared" ref="C65" si="44">IF(ISNUMBER(H65),IF(J65&gt;29,"réduit",IF(SUM(K57:K64)&gt;1,"renforcé","normal")),"")</f>
        <v/>
      </c>
      <c r="D65" s="10"/>
      <c r="E65" s="10"/>
      <c r="F65" s="10"/>
      <c r="G65" s="10"/>
      <c r="H65" s="10"/>
      <c r="I65" s="8" t="str">
        <f t="shared" si="7"/>
        <v/>
      </c>
      <c r="J65" s="8">
        <f t="shared" si="8"/>
        <v>0</v>
      </c>
      <c r="K65" s="11" t="str">
        <f t="shared" si="9"/>
        <v/>
      </c>
    </row>
    <row r="66" spans="2:11" x14ac:dyDescent="0.25">
      <c r="B66" s="8">
        <v>62</v>
      </c>
      <c r="C66" s="8" t="str">
        <f t="shared" ref="C66" si="45">IF(ISNUMBER(H65),IF(J65&gt;29,"réduit",IF(SUM(K58:K65)&gt;1,"renforcé","normal")),"")</f>
        <v/>
      </c>
      <c r="D66" s="10"/>
      <c r="E66" s="10"/>
      <c r="F66" s="10"/>
      <c r="G66" s="10"/>
      <c r="H66" s="10"/>
      <c r="I66" s="8" t="str">
        <f t="shared" si="7"/>
        <v/>
      </c>
      <c r="J66" s="8">
        <f t="shared" si="8"/>
        <v>0</v>
      </c>
      <c r="K66" s="11" t="str">
        <f t="shared" si="9"/>
        <v/>
      </c>
    </row>
    <row r="67" spans="2:11" x14ac:dyDescent="0.25">
      <c r="B67" s="8">
        <v>63</v>
      </c>
      <c r="C67" s="8" t="str">
        <f t="shared" ref="C67" si="46">IF(ISNUMBER(H67),IF(J67&gt;29,"réduit",IF(SUM(K59:K66)&gt;1,"renforcé","normal")),"")</f>
        <v/>
      </c>
      <c r="D67" s="10"/>
      <c r="E67" s="10"/>
      <c r="F67" s="10"/>
      <c r="G67" s="10"/>
      <c r="H67" s="10"/>
      <c r="I67" s="8" t="str">
        <f t="shared" si="7"/>
        <v/>
      </c>
      <c r="J67" s="8">
        <f t="shared" si="8"/>
        <v>0</v>
      </c>
      <c r="K67" s="11" t="str">
        <f t="shared" si="9"/>
        <v/>
      </c>
    </row>
    <row r="68" spans="2:11" x14ac:dyDescent="0.25">
      <c r="B68" s="8">
        <v>64</v>
      </c>
      <c r="C68" s="8" t="str">
        <f t="shared" ref="C68" si="47">IF(ISNUMBER(H67),IF(J67&gt;29,"réduit",IF(SUM(K60:K67)&gt;1,"renforcé","normal")),"")</f>
        <v/>
      </c>
      <c r="D68" s="10"/>
      <c r="E68" s="10"/>
      <c r="F68" s="10"/>
      <c r="G68" s="10"/>
      <c r="H68" s="10"/>
      <c r="I68" s="8" t="str">
        <f t="shared" si="7"/>
        <v/>
      </c>
      <c r="J68" s="8">
        <f t="shared" si="8"/>
        <v>0</v>
      </c>
      <c r="K68" s="11" t="str">
        <f t="shared" si="9"/>
        <v/>
      </c>
    </row>
    <row r="69" spans="2:11" x14ac:dyDescent="0.25">
      <c r="B69" s="8">
        <v>65</v>
      </c>
      <c r="C69" s="8" t="str">
        <f t="shared" ref="C69" si="48">IF(ISNUMBER(H69),IF(J69&gt;29,"réduit",IF(SUM(K61:K68)&gt;1,"renforcé","normal")),"")</f>
        <v/>
      </c>
      <c r="D69" s="10"/>
      <c r="E69" s="10"/>
      <c r="F69" s="10"/>
      <c r="G69" s="10"/>
      <c r="H69" s="10"/>
      <c r="I69" s="8" t="str">
        <f t="shared" si="7"/>
        <v/>
      </c>
      <c r="J69" s="8">
        <f t="shared" si="8"/>
        <v>0</v>
      </c>
      <c r="K69" s="11" t="str">
        <f t="shared" si="9"/>
        <v/>
      </c>
    </row>
    <row r="70" spans="2:11" x14ac:dyDescent="0.25">
      <c r="B70" s="8">
        <v>66</v>
      </c>
      <c r="C70" s="8" t="str">
        <f t="shared" ref="C70" si="49">IF(ISNUMBER(H69),IF(J69&gt;29,"réduit",IF(SUM(K62:K69)&gt;1,"renforcé","normal")),"")</f>
        <v/>
      </c>
      <c r="D70" s="10"/>
      <c r="E70" s="10"/>
      <c r="F70" s="10"/>
      <c r="G70" s="10"/>
      <c r="H70" s="10"/>
      <c r="I70" s="8" t="str">
        <f t="shared" si="7"/>
        <v/>
      </c>
      <c r="J70" s="8">
        <f t="shared" si="8"/>
        <v>0</v>
      </c>
      <c r="K70" s="11" t="str">
        <f t="shared" si="9"/>
        <v/>
      </c>
    </row>
    <row r="71" spans="2:11" x14ac:dyDescent="0.25">
      <c r="B71" s="8">
        <v>67</v>
      </c>
      <c r="C71" s="8" t="str">
        <f t="shared" ref="C71" si="50">IF(ISNUMBER(H71),IF(J71&gt;29,"réduit",IF(SUM(K63:K70)&gt;1,"renforcé","normal")),"")</f>
        <v/>
      </c>
      <c r="D71" s="10"/>
      <c r="E71" s="10"/>
      <c r="F71" s="10"/>
      <c r="G71" s="10"/>
      <c r="H71" s="10"/>
      <c r="I71" s="8" t="str">
        <f t="shared" si="7"/>
        <v/>
      </c>
      <c r="J71" s="8">
        <f t="shared" si="8"/>
        <v>0</v>
      </c>
      <c r="K71" s="11" t="str">
        <f t="shared" si="9"/>
        <v/>
      </c>
    </row>
    <row r="72" spans="2:11" x14ac:dyDescent="0.25">
      <c r="B72" s="8">
        <v>68</v>
      </c>
      <c r="C72" s="8" t="str">
        <f t="shared" ref="C72" si="51">IF(ISNUMBER(H71),IF(J71&gt;29,"réduit",IF(SUM(K64:K71)&gt;1,"renforcé","normal")),"")</f>
        <v/>
      </c>
      <c r="D72" s="10"/>
      <c r="E72" s="10"/>
      <c r="F72" s="10"/>
      <c r="G72" s="10"/>
      <c r="H72" s="10"/>
      <c r="I72" s="8" t="str">
        <f t="shared" si="7"/>
        <v/>
      </c>
      <c r="J72" s="8">
        <f t="shared" si="8"/>
        <v>0</v>
      </c>
      <c r="K72" s="11" t="str">
        <f t="shared" si="9"/>
        <v/>
      </c>
    </row>
    <row r="73" spans="2:11" x14ac:dyDescent="0.25">
      <c r="B73" s="8">
        <v>69</v>
      </c>
      <c r="C73" s="8" t="str">
        <f t="shared" ref="C73" si="52">IF(ISNUMBER(H73),IF(J73&gt;29,"réduit",IF(SUM(K65:K72)&gt;1,"renforcé","normal")),"")</f>
        <v/>
      </c>
      <c r="D73" s="10"/>
      <c r="E73" s="10"/>
      <c r="F73" s="10"/>
      <c r="G73" s="10"/>
      <c r="H73" s="10"/>
      <c r="I73" s="8" t="str">
        <f t="shared" si="7"/>
        <v/>
      </c>
      <c r="J73" s="8">
        <f t="shared" si="8"/>
        <v>0</v>
      </c>
      <c r="K73" s="11" t="str">
        <f t="shared" si="9"/>
        <v/>
      </c>
    </row>
    <row r="74" spans="2:11" x14ac:dyDescent="0.25">
      <c r="B74" s="8">
        <v>70</v>
      </c>
      <c r="C74" s="8" t="str">
        <f t="shared" ref="C74" si="53">IF(ISNUMBER(H73),IF(J73&gt;29,"réduit",IF(SUM(K66:K73)&gt;1,"renforcé","normal")),"")</f>
        <v/>
      </c>
      <c r="D74" s="10"/>
      <c r="E74" s="10"/>
      <c r="F74" s="10"/>
      <c r="G74" s="10"/>
      <c r="H74" s="10"/>
      <c r="I74" s="8" t="str">
        <f t="shared" si="7"/>
        <v/>
      </c>
      <c r="J74" s="8">
        <f t="shared" si="8"/>
        <v>0</v>
      </c>
      <c r="K74" s="11" t="str">
        <f t="shared" si="9"/>
        <v/>
      </c>
    </row>
    <row r="75" spans="2:11" x14ac:dyDescent="0.25">
      <c r="B75" s="8">
        <v>71</v>
      </c>
      <c r="C75" s="8" t="str">
        <f t="shared" ref="C75" si="54">IF(ISNUMBER(H75),IF(J75&gt;29,"réduit",IF(SUM(K67:K74)&gt;1,"renforcé","normal")),"")</f>
        <v/>
      </c>
      <c r="D75" s="10"/>
      <c r="E75" s="10"/>
      <c r="F75" s="10"/>
      <c r="G75" s="10"/>
      <c r="H75" s="10"/>
      <c r="I75" s="8" t="str">
        <f t="shared" si="7"/>
        <v/>
      </c>
      <c r="J75" s="8">
        <f t="shared" si="8"/>
        <v>0</v>
      </c>
      <c r="K75" s="11" t="str">
        <f t="shared" si="9"/>
        <v/>
      </c>
    </row>
    <row r="76" spans="2:11" x14ac:dyDescent="0.25">
      <c r="B76" s="8">
        <v>72</v>
      </c>
      <c r="C76" s="8" t="str">
        <f t="shared" ref="C76" si="55">IF(ISNUMBER(H75),IF(J75&gt;29,"réduit",IF(SUM(K68:K75)&gt;1,"renforcé","normal")),"")</f>
        <v/>
      </c>
      <c r="D76" s="10"/>
      <c r="E76" s="10"/>
      <c r="F76" s="10"/>
      <c r="G76" s="10"/>
      <c r="H76" s="10"/>
      <c r="I76" s="8" t="str">
        <f t="shared" si="7"/>
        <v/>
      </c>
      <c r="J76" s="8">
        <f t="shared" si="8"/>
        <v>0</v>
      </c>
      <c r="K76" s="11" t="str">
        <f t="shared" si="9"/>
        <v/>
      </c>
    </row>
    <row r="77" spans="2:11" x14ac:dyDescent="0.25">
      <c r="B77" s="8">
        <v>73</v>
      </c>
      <c r="C77" s="8" t="str">
        <f t="shared" ref="C77" si="56">IF(ISNUMBER(H77),IF(J77&gt;29,"réduit",IF(SUM(K69:K76)&gt;1,"renforcé","normal")),"")</f>
        <v/>
      </c>
      <c r="D77" s="10"/>
      <c r="E77" s="10"/>
      <c r="F77" s="10"/>
      <c r="G77" s="10"/>
      <c r="H77" s="10"/>
      <c r="I77" s="8" t="str">
        <f t="shared" si="7"/>
        <v/>
      </c>
      <c r="J77" s="8">
        <f t="shared" si="8"/>
        <v>0</v>
      </c>
      <c r="K77" s="11" t="str">
        <f t="shared" si="9"/>
        <v/>
      </c>
    </row>
    <row r="78" spans="2:11" x14ac:dyDescent="0.25">
      <c r="B78" s="8">
        <v>74</v>
      </c>
      <c r="C78" s="8" t="str">
        <f t="shared" ref="C78" si="57">IF(ISNUMBER(H77),IF(J77&gt;29,"réduit",IF(SUM(K70:K77)&gt;1,"renforcé","normal")),"")</f>
        <v/>
      </c>
      <c r="D78" s="10"/>
      <c r="E78" s="10"/>
      <c r="F78" s="10"/>
      <c r="G78" s="10"/>
      <c r="H78" s="10"/>
      <c r="I78" s="8" t="str">
        <f t="shared" si="7"/>
        <v/>
      </c>
      <c r="J78" s="8">
        <f t="shared" si="8"/>
        <v>0</v>
      </c>
      <c r="K78" s="11" t="str">
        <f t="shared" si="9"/>
        <v/>
      </c>
    </row>
    <row r="79" spans="2:11" x14ac:dyDescent="0.25">
      <c r="B79" s="8">
        <v>75</v>
      </c>
      <c r="C79" s="8" t="str">
        <f t="shared" ref="C79" si="58">IF(ISNUMBER(H79),IF(J79&gt;29,"réduit",IF(SUM(K71:K78)&gt;1,"renforcé","normal")),"")</f>
        <v/>
      </c>
      <c r="D79" s="10"/>
      <c r="E79" s="10"/>
      <c r="F79" s="10"/>
      <c r="G79" s="10"/>
      <c r="H79" s="10"/>
      <c r="I79" s="8" t="str">
        <f t="shared" si="7"/>
        <v/>
      </c>
      <c r="J79" s="8">
        <f t="shared" si="8"/>
        <v>0</v>
      </c>
      <c r="K79" s="11" t="str">
        <f t="shared" si="9"/>
        <v/>
      </c>
    </row>
    <row r="80" spans="2:11" x14ac:dyDescent="0.25">
      <c r="B80" s="8">
        <v>76</v>
      </c>
      <c r="C80" s="8" t="str">
        <f t="shared" ref="C80" si="59">IF(ISNUMBER(H79),IF(J79&gt;29,"réduit",IF(SUM(K72:K79)&gt;1,"renforcé","normal")),"")</f>
        <v/>
      </c>
      <c r="D80" s="10"/>
      <c r="E80" s="10"/>
      <c r="F80" s="10"/>
      <c r="G80" s="10"/>
      <c r="H80" s="10"/>
      <c r="I80" s="8" t="str">
        <f t="shared" si="7"/>
        <v/>
      </c>
      <c r="J80" s="8">
        <f t="shared" si="8"/>
        <v>0</v>
      </c>
      <c r="K80" s="11" t="str">
        <f t="shared" si="9"/>
        <v/>
      </c>
    </row>
    <row r="81" spans="2:11" x14ac:dyDescent="0.25">
      <c r="B81" s="8">
        <v>77</v>
      </c>
      <c r="C81" s="8" t="str">
        <f t="shared" ref="C81" si="60">IF(ISNUMBER(H81),IF(J81&gt;29,"réduit",IF(SUM(K73:K80)&gt;1,"renforcé","normal")),"")</f>
        <v/>
      </c>
      <c r="D81" s="10"/>
      <c r="E81" s="10"/>
      <c r="F81" s="10"/>
      <c r="G81" s="10"/>
      <c r="H81" s="10"/>
      <c r="I81" s="8" t="str">
        <f t="shared" si="7"/>
        <v/>
      </c>
      <c r="J81" s="8">
        <f t="shared" si="8"/>
        <v>0</v>
      </c>
      <c r="K81" s="11" t="str">
        <f t="shared" si="9"/>
        <v/>
      </c>
    </row>
    <row r="82" spans="2:11" x14ac:dyDescent="0.25">
      <c r="B82" s="8">
        <v>78</v>
      </c>
      <c r="C82" s="8" t="str">
        <f t="shared" ref="C82" si="61">IF(ISNUMBER(H81),IF(J81&gt;29,"réduit",IF(SUM(K74:K81)&gt;1,"renforcé","normal")),"")</f>
        <v/>
      </c>
      <c r="D82" s="10"/>
      <c r="E82" s="10"/>
      <c r="F82" s="10"/>
      <c r="G82" s="10"/>
      <c r="H82" s="10"/>
      <c r="I82" s="8" t="str">
        <f t="shared" si="7"/>
        <v/>
      </c>
      <c r="J82" s="8">
        <f t="shared" si="8"/>
        <v>0</v>
      </c>
      <c r="K82" s="11" t="str">
        <f t="shared" si="9"/>
        <v/>
      </c>
    </row>
    <row r="83" spans="2:11" x14ac:dyDescent="0.25">
      <c r="B83" s="8">
        <v>79</v>
      </c>
      <c r="C83" s="8" t="str">
        <f t="shared" ref="C83" si="62">IF(ISNUMBER(H83),IF(J83&gt;29,"réduit",IF(SUM(K75:K82)&gt;1,"renforcé","normal")),"")</f>
        <v/>
      </c>
      <c r="D83" s="10"/>
      <c r="E83" s="10"/>
      <c r="F83" s="10"/>
      <c r="G83" s="10"/>
      <c r="H83" s="10"/>
      <c r="I83" s="8" t="str">
        <f t="shared" si="7"/>
        <v/>
      </c>
      <c r="J83" s="8">
        <f t="shared" si="8"/>
        <v>0</v>
      </c>
      <c r="K83" s="11" t="str">
        <f t="shared" si="9"/>
        <v/>
      </c>
    </row>
    <row r="84" spans="2:11" x14ac:dyDescent="0.25">
      <c r="B84" s="8">
        <v>80</v>
      </c>
      <c r="C84" s="8" t="str">
        <f t="shared" ref="C84" si="63">IF(ISNUMBER(H83),IF(J83&gt;29,"réduit",IF(SUM(K76:K83)&gt;1,"renforcé","normal")),"")</f>
        <v/>
      </c>
      <c r="D84" s="10"/>
      <c r="E84" s="10"/>
      <c r="F84" s="10"/>
      <c r="G84" s="10"/>
      <c r="H84" s="10"/>
      <c r="I84" s="8" t="str">
        <f t="shared" si="7"/>
        <v/>
      </c>
      <c r="J84" s="8">
        <f t="shared" si="8"/>
        <v>0</v>
      </c>
      <c r="K84" s="11" t="str">
        <f t="shared" si="9"/>
        <v/>
      </c>
    </row>
    <row r="85" spans="2:11" x14ac:dyDescent="0.25">
      <c r="B85" s="8">
        <v>81</v>
      </c>
      <c r="C85" s="8" t="str">
        <f t="shared" ref="C85" si="64">IF(ISNUMBER(H85),IF(J85&gt;29,"réduit",IF(SUM(K77:K84)&gt;1,"renforcé","normal")),"")</f>
        <v/>
      </c>
      <c r="D85" s="10"/>
      <c r="E85" s="10"/>
      <c r="F85" s="10"/>
      <c r="G85" s="10"/>
      <c r="H85" s="10"/>
      <c r="I85" s="8" t="str">
        <f t="shared" si="7"/>
        <v/>
      </c>
      <c r="J85" s="8">
        <f t="shared" si="8"/>
        <v>0</v>
      </c>
      <c r="K85" s="11" t="str">
        <f t="shared" si="9"/>
        <v/>
      </c>
    </row>
    <row r="86" spans="2:11" x14ac:dyDescent="0.25">
      <c r="B86" s="8">
        <v>82</v>
      </c>
      <c r="C86" s="8" t="str">
        <f t="shared" ref="C86" si="65">IF(ISNUMBER(H85),IF(J85&gt;29,"réduit",IF(SUM(K78:K85)&gt;1,"renforcé","normal")),"")</f>
        <v/>
      </c>
      <c r="D86" s="10"/>
      <c r="E86" s="10"/>
      <c r="F86" s="10"/>
      <c r="G86" s="10"/>
      <c r="H86" s="10"/>
      <c r="I86" s="8" t="str">
        <f t="shared" si="7"/>
        <v/>
      </c>
      <c r="J86" s="8">
        <f t="shared" si="8"/>
        <v>0</v>
      </c>
      <c r="K86" s="11" t="str">
        <f t="shared" si="9"/>
        <v/>
      </c>
    </row>
    <row r="87" spans="2:11" x14ac:dyDescent="0.25">
      <c r="B87" s="8">
        <v>83</v>
      </c>
      <c r="C87" s="8" t="str">
        <f t="shared" ref="C87" si="66">IF(ISNUMBER(H87),IF(J87&gt;29,"réduit",IF(SUM(K79:K86)&gt;1,"renforcé","normal")),"")</f>
        <v/>
      </c>
      <c r="D87" s="10"/>
      <c r="E87" s="10"/>
      <c r="F87" s="10"/>
      <c r="G87" s="10"/>
      <c r="H87" s="10"/>
      <c r="I87" s="8" t="str">
        <f t="shared" si="7"/>
        <v/>
      </c>
      <c r="J87" s="8">
        <f t="shared" si="8"/>
        <v>0</v>
      </c>
      <c r="K87" s="11" t="str">
        <f t="shared" si="9"/>
        <v/>
      </c>
    </row>
    <row r="88" spans="2:11" x14ac:dyDescent="0.25">
      <c r="B88" s="8">
        <v>84</v>
      </c>
      <c r="C88" s="8" t="str">
        <f t="shared" ref="C88" si="67">IF(ISNUMBER(H87),IF(J87&gt;29,"réduit",IF(SUM(K80:K87)&gt;1,"renforcé","normal")),"")</f>
        <v/>
      </c>
      <c r="D88" s="10"/>
      <c r="E88" s="10"/>
      <c r="F88" s="10"/>
      <c r="G88" s="10"/>
      <c r="H88" s="10"/>
      <c r="I88" s="8" t="str">
        <f t="shared" si="7"/>
        <v/>
      </c>
      <c r="J88" s="8">
        <f t="shared" si="8"/>
        <v>0</v>
      </c>
      <c r="K88" s="11" t="str">
        <f t="shared" si="9"/>
        <v/>
      </c>
    </row>
    <row r="89" spans="2:11" x14ac:dyDescent="0.25">
      <c r="B89" s="8">
        <v>85</v>
      </c>
      <c r="C89" s="8" t="str">
        <f t="shared" ref="C89" si="68">IF(ISNUMBER(H89),IF(J89&gt;29,"réduit",IF(SUM(K81:K88)&gt;1,"renforcé","normal")),"")</f>
        <v/>
      </c>
      <c r="D89" s="10"/>
      <c r="E89" s="10"/>
      <c r="F89" s="10"/>
      <c r="G89" s="10"/>
      <c r="H89" s="10"/>
      <c r="I89" s="8" t="str">
        <f t="shared" si="7"/>
        <v/>
      </c>
      <c r="J89" s="8">
        <f t="shared" si="8"/>
        <v>0</v>
      </c>
      <c r="K89" s="11" t="str">
        <f t="shared" si="9"/>
        <v/>
      </c>
    </row>
    <row r="90" spans="2:11" x14ac:dyDescent="0.25">
      <c r="B90" s="8">
        <v>86</v>
      </c>
      <c r="C90" s="8" t="str">
        <f t="shared" ref="C90" si="69">IF(ISNUMBER(H89),IF(J89&gt;29,"réduit",IF(SUM(K82:K89)&gt;1,"renforcé","normal")),"")</f>
        <v/>
      </c>
      <c r="D90" s="10"/>
      <c r="E90" s="10"/>
      <c r="F90" s="10"/>
      <c r="G90" s="10"/>
      <c r="H90" s="10"/>
      <c r="I90" s="8" t="str">
        <f t="shared" si="7"/>
        <v/>
      </c>
      <c r="J90" s="8">
        <f t="shared" si="8"/>
        <v>0</v>
      </c>
      <c r="K90" s="11" t="str">
        <f t="shared" si="9"/>
        <v/>
      </c>
    </row>
    <row r="91" spans="2:11" x14ac:dyDescent="0.25">
      <c r="B91" s="8">
        <v>87</v>
      </c>
      <c r="C91" s="8" t="str">
        <f t="shared" ref="C91" si="70">IF(ISNUMBER(H91),IF(J91&gt;29,"réduit",IF(SUM(K83:K90)&gt;1,"renforcé","normal")),"")</f>
        <v/>
      </c>
      <c r="D91" s="10"/>
      <c r="E91" s="10"/>
      <c r="F91" s="10"/>
      <c r="G91" s="10"/>
      <c r="H91" s="10"/>
      <c r="I91" s="8" t="str">
        <f t="shared" si="7"/>
        <v/>
      </c>
      <c r="J91" s="8">
        <f t="shared" si="8"/>
        <v>0</v>
      </c>
      <c r="K91" s="11" t="str">
        <f t="shared" si="9"/>
        <v/>
      </c>
    </row>
    <row r="92" spans="2:11" x14ac:dyDescent="0.25">
      <c r="B92" s="8">
        <v>88</v>
      </c>
      <c r="C92" s="8" t="str">
        <f t="shared" ref="C92" si="71">IF(ISNUMBER(H91),IF(J91&gt;29,"réduit",IF(SUM(K84:K91)&gt;1,"renforcé","normal")),"")</f>
        <v/>
      </c>
      <c r="D92" s="10"/>
      <c r="E92" s="10"/>
      <c r="F92" s="10"/>
      <c r="G92" s="10"/>
      <c r="H92" s="10"/>
      <c r="I92" s="8" t="str">
        <f t="shared" si="7"/>
        <v/>
      </c>
      <c r="J92" s="8">
        <f t="shared" si="8"/>
        <v>0</v>
      </c>
      <c r="K92" s="11" t="str">
        <f t="shared" si="9"/>
        <v/>
      </c>
    </row>
    <row r="93" spans="2:11" x14ac:dyDescent="0.25">
      <c r="B93" s="8">
        <v>89</v>
      </c>
      <c r="C93" s="8" t="str">
        <f t="shared" ref="C93" si="72">IF(ISNUMBER(H93),IF(J93&gt;29,"réduit",IF(SUM(K85:K92)&gt;1,"renforcé","normal")),"")</f>
        <v/>
      </c>
      <c r="D93" s="10"/>
      <c r="E93" s="10"/>
      <c r="F93" s="10"/>
      <c r="G93" s="10"/>
      <c r="H93" s="10"/>
      <c r="I93" s="8" t="str">
        <f t="shared" si="7"/>
        <v/>
      </c>
      <c r="J93" s="8">
        <f t="shared" si="8"/>
        <v>0</v>
      </c>
      <c r="K93" s="11" t="str">
        <f t="shared" si="9"/>
        <v/>
      </c>
    </row>
    <row r="94" spans="2:11" x14ac:dyDescent="0.25">
      <c r="B94" s="8">
        <v>90</v>
      </c>
      <c r="C94" s="8" t="str">
        <f t="shared" ref="C94" si="73">IF(ISNUMBER(H93),IF(J93&gt;29,"réduit",IF(SUM(K86:K93)&gt;1,"renforcé","normal")),"")</f>
        <v/>
      </c>
      <c r="D94" s="10"/>
      <c r="E94" s="10"/>
      <c r="F94" s="10"/>
      <c r="G94" s="10"/>
      <c r="H94" s="10"/>
      <c r="I94" s="8" t="str">
        <f t="shared" ref="I94:I139" si="74">IF(ISNUMBER(H94),IF(H94&lt;=G94,"ok","nc"),"")</f>
        <v/>
      </c>
      <c r="J94" s="8">
        <f t="shared" ref="J94:J139" si="75">IF(C93="renforcé",0,IF((J93+IF(I94="ok",IF(G94&gt;1,3,2),0))=J93,0,J93+IF(I94="ok",IF(G94&gt;1,3,2),0)))</f>
        <v>0</v>
      </c>
      <c r="K94" s="11" t="str">
        <f t="shared" ref="K94:K139" si="76">IF(ISNUMBER(H94),IF(I94="ok",0,1),"")</f>
        <v/>
      </c>
    </row>
    <row r="95" spans="2:11" x14ac:dyDescent="0.25">
      <c r="B95" s="8">
        <v>91</v>
      </c>
      <c r="C95" s="8" t="str">
        <f t="shared" ref="C95" si="77">IF(ISNUMBER(H95),IF(J95&gt;29,"réduit",IF(SUM(K87:K94)&gt;1,"renforcé","normal")),"")</f>
        <v/>
      </c>
      <c r="D95" s="10"/>
      <c r="E95" s="10"/>
      <c r="F95" s="10"/>
      <c r="G95" s="10"/>
      <c r="H95" s="10"/>
      <c r="I95" s="8" t="str">
        <f t="shared" si="74"/>
        <v/>
      </c>
      <c r="J95" s="8">
        <f t="shared" si="75"/>
        <v>0</v>
      </c>
      <c r="K95" s="11" t="str">
        <f t="shared" si="76"/>
        <v/>
      </c>
    </row>
    <row r="96" spans="2:11" x14ac:dyDescent="0.25">
      <c r="B96" s="8">
        <v>92</v>
      </c>
      <c r="C96" s="8" t="str">
        <f t="shared" ref="C96" si="78">IF(ISNUMBER(H95),IF(J95&gt;29,"réduit",IF(SUM(K88:K95)&gt;1,"renforcé","normal")),"")</f>
        <v/>
      </c>
      <c r="D96" s="10"/>
      <c r="E96" s="10"/>
      <c r="F96" s="10"/>
      <c r="G96" s="10"/>
      <c r="H96" s="10"/>
      <c r="I96" s="8" t="str">
        <f t="shared" si="74"/>
        <v/>
      </c>
      <c r="J96" s="8">
        <f t="shared" si="75"/>
        <v>0</v>
      </c>
      <c r="K96" s="11" t="str">
        <f t="shared" si="76"/>
        <v/>
      </c>
    </row>
    <row r="97" spans="2:11" x14ac:dyDescent="0.25">
      <c r="B97" s="8">
        <v>93</v>
      </c>
      <c r="C97" s="8" t="str">
        <f t="shared" ref="C97" si="79">IF(ISNUMBER(H97),IF(J97&gt;29,"réduit",IF(SUM(K89:K96)&gt;1,"renforcé","normal")),"")</f>
        <v/>
      </c>
      <c r="D97" s="10"/>
      <c r="E97" s="10"/>
      <c r="F97" s="10"/>
      <c r="G97" s="10"/>
      <c r="H97" s="10"/>
      <c r="I97" s="8" t="str">
        <f t="shared" si="74"/>
        <v/>
      </c>
      <c r="J97" s="8">
        <f t="shared" si="75"/>
        <v>0</v>
      </c>
      <c r="K97" s="11" t="str">
        <f t="shared" si="76"/>
        <v/>
      </c>
    </row>
    <row r="98" spans="2:11" x14ac:dyDescent="0.25">
      <c r="B98" s="8">
        <v>94</v>
      </c>
      <c r="C98" s="8" t="str">
        <f t="shared" ref="C98" si="80">IF(ISNUMBER(H97),IF(J97&gt;29,"réduit",IF(SUM(K90:K97)&gt;1,"renforcé","normal")),"")</f>
        <v/>
      </c>
      <c r="D98" s="10"/>
      <c r="E98" s="10"/>
      <c r="F98" s="10"/>
      <c r="G98" s="10"/>
      <c r="H98" s="10"/>
      <c r="I98" s="8" t="str">
        <f t="shared" si="74"/>
        <v/>
      </c>
      <c r="J98" s="8">
        <f t="shared" si="75"/>
        <v>0</v>
      </c>
      <c r="K98" s="11" t="str">
        <f t="shared" si="76"/>
        <v/>
      </c>
    </row>
    <row r="99" spans="2:11" x14ac:dyDescent="0.25">
      <c r="B99" s="8">
        <v>95</v>
      </c>
      <c r="C99" s="8" t="str">
        <f t="shared" ref="C99" si="81">IF(ISNUMBER(H99),IF(J99&gt;29,"réduit",IF(SUM(K91:K98)&gt;1,"renforcé","normal")),"")</f>
        <v/>
      </c>
      <c r="D99" s="10"/>
      <c r="E99" s="10"/>
      <c r="F99" s="10"/>
      <c r="G99" s="10"/>
      <c r="H99" s="10"/>
      <c r="I99" s="8" t="str">
        <f t="shared" si="74"/>
        <v/>
      </c>
      <c r="J99" s="8">
        <f t="shared" si="75"/>
        <v>0</v>
      </c>
      <c r="K99" s="11" t="str">
        <f t="shared" si="76"/>
        <v/>
      </c>
    </row>
    <row r="100" spans="2:11" x14ac:dyDescent="0.25">
      <c r="B100" s="8">
        <v>96</v>
      </c>
      <c r="C100" s="8" t="str">
        <f t="shared" ref="C100" si="82">IF(ISNUMBER(H99),IF(J99&gt;29,"réduit",IF(SUM(K92:K99)&gt;1,"renforcé","normal")),"")</f>
        <v/>
      </c>
      <c r="D100" s="10"/>
      <c r="E100" s="10"/>
      <c r="F100" s="10"/>
      <c r="G100" s="10"/>
      <c r="H100" s="10"/>
      <c r="I100" s="8" t="str">
        <f t="shared" si="74"/>
        <v/>
      </c>
      <c r="J100" s="8">
        <f t="shared" si="75"/>
        <v>0</v>
      </c>
      <c r="K100" s="11" t="str">
        <f t="shared" si="76"/>
        <v/>
      </c>
    </row>
    <row r="101" spans="2:11" x14ac:dyDescent="0.25">
      <c r="B101" s="8">
        <v>97</v>
      </c>
      <c r="C101" s="8" t="str">
        <f t="shared" ref="C101" si="83">IF(ISNUMBER(H101),IF(J101&gt;29,"réduit",IF(SUM(K93:K100)&gt;1,"renforcé","normal")),"")</f>
        <v/>
      </c>
      <c r="D101" s="10"/>
      <c r="E101" s="10"/>
      <c r="F101" s="10"/>
      <c r="G101" s="10"/>
      <c r="H101" s="10"/>
      <c r="I101" s="8" t="str">
        <f t="shared" si="74"/>
        <v/>
      </c>
      <c r="J101" s="8">
        <f t="shared" si="75"/>
        <v>0</v>
      </c>
      <c r="K101" s="11" t="str">
        <f t="shared" si="76"/>
        <v/>
      </c>
    </row>
    <row r="102" spans="2:11" x14ac:dyDescent="0.25">
      <c r="B102" s="8">
        <v>98</v>
      </c>
      <c r="C102" s="8" t="str">
        <f t="shared" ref="C102" si="84">IF(ISNUMBER(H101),IF(J101&gt;29,"réduit",IF(SUM(K94:K101)&gt;1,"renforcé","normal")),"")</f>
        <v/>
      </c>
      <c r="D102" s="10"/>
      <c r="E102" s="10"/>
      <c r="F102" s="10"/>
      <c r="G102" s="10"/>
      <c r="H102" s="10"/>
      <c r="I102" s="8" t="str">
        <f t="shared" si="74"/>
        <v/>
      </c>
      <c r="J102" s="8">
        <f t="shared" si="75"/>
        <v>0</v>
      </c>
      <c r="K102" s="11" t="str">
        <f t="shared" si="76"/>
        <v/>
      </c>
    </row>
    <row r="103" spans="2:11" x14ac:dyDescent="0.25">
      <c r="B103" s="8">
        <v>99</v>
      </c>
      <c r="C103" s="8" t="str">
        <f t="shared" ref="C103" si="85">IF(ISNUMBER(H103),IF(J103&gt;29,"réduit",IF(SUM(K95:K102)&gt;1,"renforcé","normal")),"")</f>
        <v/>
      </c>
      <c r="D103" s="10"/>
      <c r="E103" s="10"/>
      <c r="F103" s="10"/>
      <c r="G103" s="10"/>
      <c r="H103" s="10"/>
      <c r="I103" s="8" t="str">
        <f t="shared" si="74"/>
        <v/>
      </c>
      <c r="J103" s="8">
        <f t="shared" si="75"/>
        <v>0</v>
      </c>
      <c r="K103" s="11" t="str">
        <f t="shared" si="76"/>
        <v/>
      </c>
    </row>
    <row r="104" spans="2:11" x14ac:dyDescent="0.25">
      <c r="B104" s="8">
        <v>100</v>
      </c>
      <c r="C104" s="8" t="str">
        <f t="shared" ref="C104" si="86">IF(ISNUMBER(H103),IF(J103&gt;29,"réduit",IF(SUM(K96:K103)&gt;1,"renforcé","normal")),"")</f>
        <v/>
      </c>
      <c r="D104" s="10"/>
      <c r="E104" s="10"/>
      <c r="F104" s="10"/>
      <c r="G104" s="10"/>
      <c r="H104" s="10"/>
      <c r="I104" s="8" t="str">
        <f t="shared" si="74"/>
        <v/>
      </c>
      <c r="J104" s="8">
        <f t="shared" si="75"/>
        <v>0</v>
      </c>
      <c r="K104" s="11" t="str">
        <f t="shared" si="76"/>
        <v/>
      </c>
    </row>
    <row r="105" spans="2:11" x14ac:dyDescent="0.25">
      <c r="B105" s="8">
        <v>101</v>
      </c>
      <c r="C105" s="8" t="str">
        <f t="shared" ref="C105" si="87">IF(ISNUMBER(H105),IF(J105&gt;29,"réduit",IF(SUM(K97:K104)&gt;1,"renforcé","normal")),"")</f>
        <v/>
      </c>
      <c r="D105" s="10"/>
      <c r="E105" s="10"/>
      <c r="F105" s="10"/>
      <c r="G105" s="10"/>
      <c r="H105" s="10"/>
      <c r="I105" s="8" t="str">
        <f t="shared" si="74"/>
        <v/>
      </c>
      <c r="J105" s="8">
        <f t="shared" si="75"/>
        <v>0</v>
      </c>
      <c r="K105" s="11" t="str">
        <f t="shared" si="76"/>
        <v/>
      </c>
    </row>
    <row r="106" spans="2:11" x14ac:dyDescent="0.25">
      <c r="B106" s="8">
        <v>102</v>
      </c>
      <c r="C106" s="8" t="str">
        <f t="shared" ref="C106" si="88">IF(ISNUMBER(H105),IF(J105&gt;29,"réduit",IF(SUM(K98:K105)&gt;1,"renforcé","normal")),"")</f>
        <v/>
      </c>
      <c r="D106" s="10"/>
      <c r="E106" s="10"/>
      <c r="F106" s="10"/>
      <c r="G106" s="10"/>
      <c r="H106" s="10"/>
      <c r="I106" s="8" t="str">
        <f t="shared" si="74"/>
        <v/>
      </c>
      <c r="J106" s="8">
        <f t="shared" si="75"/>
        <v>0</v>
      </c>
      <c r="K106" s="11" t="str">
        <f t="shared" si="76"/>
        <v/>
      </c>
    </row>
    <row r="107" spans="2:11" x14ac:dyDescent="0.25">
      <c r="B107" s="8">
        <v>103</v>
      </c>
      <c r="C107" s="8" t="str">
        <f t="shared" ref="C107" si="89">IF(ISNUMBER(H107),IF(J107&gt;29,"réduit",IF(SUM(K99:K106)&gt;1,"renforcé","normal")),"")</f>
        <v/>
      </c>
      <c r="D107" s="10"/>
      <c r="E107" s="10"/>
      <c r="F107" s="10"/>
      <c r="G107" s="10"/>
      <c r="H107" s="10"/>
      <c r="I107" s="8" t="str">
        <f t="shared" si="74"/>
        <v/>
      </c>
      <c r="J107" s="8">
        <f t="shared" si="75"/>
        <v>0</v>
      </c>
      <c r="K107" s="11" t="str">
        <f t="shared" si="76"/>
        <v/>
      </c>
    </row>
    <row r="108" spans="2:11" x14ac:dyDescent="0.25">
      <c r="B108" s="8">
        <v>104</v>
      </c>
      <c r="C108" s="8" t="str">
        <f t="shared" ref="C108" si="90">IF(ISNUMBER(H107),IF(J107&gt;29,"réduit",IF(SUM(K100:K107)&gt;1,"renforcé","normal")),"")</f>
        <v/>
      </c>
      <c r="D108" s="10"/>
      <c r="E108" s="10"/>
      <c r="F108" s="10"/>
      <c r="G108" s="10"/>
      <c r="H108" s="10"/>
      <c r="I108" s="8" t="str">
        <f t="shared" si="74"/>
        <v/>
      </c>
      <c r="J108" s="8">
        <f t="shared" si="75"/>
        <v>0</v>
      </c>
      <c r="K108" s="11" t="str">
        <f t="shared" si="76"/>
        <v/>
      </c>
    </row>
    <row r="109" spans="2:11" x14ac:dyDescent="0.25">
      <c r="B109" s="8">
        <v>105</v>
      </c>
      <c r="C109" s="8" t="str">
        <f t="shared" ref="C109" si="91">IF(ISNUMBER(H109),IF(J109&gt;29,"réduit",IF(SUM(K101:K108)&gt;1,"renforcé","normal")),"")</f>
        <v/>
      </c>
      <c r="D109" s="10"/>
      <c r="E109" s="10"/>
      <c r="F109" s="10"/>
      <c r="G109" s="10"/>
      <c r="H109" s="10"/>
      <c r="I109" s="8" t="str">
        <f t="shared" si="74"/>
        <v/>
      </c>
      <c r="J109" s="8">
        <f t="shared" si="75"/>
        <v>0</v>
      </c>
      <c r="K109" s="11" t="str">
        <f t="shared" si="76"/>
        <v/>
      </c>
    </row>
    <row r="110" spans="2:11" x14ac:dyDescent="0.25">
      <c r="B110" s="8">
        <v>106</v>
      </c>
      <c r="C110" s="8" t="str">
        <f t="shared" ref="C110" si="92">IF(ISNUMBER(H109),IF(J109&gt;29,"réduit",IF(SUM(K102:K109)&gt;1,"renforcé","normal")),"")</f>
        <v/>
      </c>
      <c r="D110" s="10"/>
      <c r="E110" s="10"/>
      <c r="F110" s="10"/>
      <c r="G110" s="10"/>
      <c r="H110" s="10"/>
      <c r="I110" s="8" t="str">
        <f t="shared" si="74"/>
        <v/>
      </c>
      <c r="J110" s="8">
        <f t="shared" si="75"/>
        <v>0</v>
      </c>
      <c r="K110" s="11" t="str">
        <f t="shared" si="76"/>
        <v/>
      </c>
    </row>
    <row r="111" spans="2:11" x14ac:dyDescent="0.25">
      <c r="B111" s="8">
        <v>107</v>
      </c>
      <c r="C111" s="8" t="str">
        <f t="shared" ref="C111" si="93">IF(ISNUMBER(H111),IF(J111&gt;29,"réduit",IF(SUM(K103:K110)&gt;1,"renforcé","normal")),"")</f>
        <v/>
      </c>
      <c r="D111" s="10"/>
      <c r="E111" s="10"/>
      <c r="F111" s="10"/>
      <c r="G111" s="10"/>
      <c r="H111" s="10"/>
      <c r="I111" s="8" t="str">
        <f t="shared" si="74"/>
        <v/>
      </c>
      <c r="J111" s="8">
        <f t="shared" si="75"/>
        <v>0</v>
      </c>
      <c r="K111" s="11" t="str">
        <f t="shared" si="76"/>
        <v/>
      </c>
    </row>
    <row r="112" spans="2:11" x14ac:dyDescent="0.25">
      <c r="B112" s="8">
        <v>108</v>
      </c>
      <c r="C112" s="8" t="str">
        <f t="shared" ref="C112" si="94">IF(ISNUMBER(H111),IF(J111&gt;29,"réduit",IF(SUM(K104:K111)&gt;1,"renforcé","normal")),"")</f>
        <v/>
      </c>
      <c r="D112" s="10"/>
      <c r="E112" s="10"/>
      <c r="F112" s="10"/>
      <c r="G112" s="10"/>
      <c r="H112" s="10"/>
      <c r="I112" s="8" t="str">
        <f t="shared" si="74"/>
        <v/>
      </c>
      <c r="J112" s="8">
        <f t="shared" si="75"/>
        <v>0</v>
      </c>
      <c r="K112" s="11" t="str">
        <f t="shared" si="76"/>
        <v/>
      </c>
    </row>
    <row r="113" spans="2:11" x14ac:dyDescent="0.25">
      <c r="B113" s="8">
        <v>109</v>
      </c>
      <c r="C113" s="8" t="str">
        <f t="shared" ref="C113" si="95">IF(ISNUMBER(H113),IF(J113&gt;29,"réduit",IF(SUM(K105:K112)&gt;1,"renforcé","normal")),"")</f>
        <v/>
      </c>
      <c r="D113" s="10"/>
      <c r="E113" s="10"/>
      <c r="F113" s="10"/>
      <c r="G113" s="10"/>
      <c r="H113" s="10"/>
      <c r="I113" s="8" t="str">
        <f t="shared" si="74"/>
        <v/>
      </c>
      <c r="J113" s="8">
        <f t="shared" si="75"/>
        <v>0</v>
      </c>
      <c r="K113" s="11" t="str">
        <f t="shared" si="76"/>
        <v/>
      </c>
    </row>
    <row r="114" spans="2:11" x14ac:dyDescent="0.25">
      <c r="B114" s="8">
        <v>110</v>
      </c>
      <c r="C114" s="8" t="str">
        <f t="shared" ref="C114" si="96">IF(ISNUMBER(H113),IF(J113&gt;29,"réduit",IF(SUM(K106:K113)&gt;1,"renforcé","normal")),"")</f>
        <v/>
      </c>
      <c r="D114" s="10"/>
      <c r="E114" s="10"/>
      <c r="F114" s="10"/>
      <c r="G114" s="10"/>
      <c r="H114" s="10"/>
      <c r="I114" s="8" t="str">
        <f t="shared" si="74"/>
        <v/>
      </c>
      <c r="J114" s="8">
        <f t="shared" si="75"/>
        <v>0</v>
      </c>
      <c r="K114" s="11" t="str">
        <f t="shared" si="76"/>
        <v/>
      </c>
    </row>
    <row r="115" spans="2:11" x14ac:dyDescent="0.25">
      <c r="B115" s="8">
        <v>111</v>
      </c>
      <c r="C115" s="8" t="str">
        <f t="shared" ref="C115" si="97">IF(ISNUMBER(H115),IF(J115&gt;29,"réduit",IF(SUM(K107:K114)&gt;1,"renforcé","normal")),"")</f>
        <v/>
      </c>
      <c r="D115" s="10"/>
      <c r="E115" s="10"/>
      <c r="F115" s="10"/>
      <c r="G115" s="10"/>
      <c r="H115" s="10"/>
      <c r="I115" s="8" t="str">
        <f t="shared" si="74"/>
        <v/>
      </c>
      <c r="J115" s="8">
        <f t="shared" si="75"/>
        <v>0</v>
      </c>
      <c r="K115" s="11" t="str">
        <f t="shared" si="76"/>
        <v/>
      </c>
    </row>
    <row r="116" spans="2:11" x14ac:dyDescent="0.25">
      <c r="B116" s="8">
        <v>112</v>
      </c>
      <c r="C116" s="8" t="str">
        <f t="shared" ref="C116" si="98">IF(ISNUMBER(H115),IF(J115&gt;29,"réduit",IF(SUM(K108:K115)&gt;1,"renforcé","normal")),"")</f>
        <v/>
      </c>
      <c r="D116" s="10"/>
      <c r="E116" s="10"/>
      <c r="F116" s="10"/>
      <c r="G116" s="10"/>
      <c r="H116" s="10"/>
      <c r="I116" s="8" t="str">
        <f t="shared" si="74"/>
        <v/>
      </c>
      <c r="J116" s="8">
        <f t="shared" si="75"/>
        <v>0</v>
      </c>
      <c r="K116" s="11" t="str">
        <f t="shared" si="76"/>
        <v/>
      </c>
    </row>
    <row r="117" spans="2:11" x14ac:dyDescent="0.25">
      <c r="B117" s="8">
        <v>113</v>
      </c>
      <c r="C117" s="8" t="str">
        <f t="shared" ref="C117" si="99">IF(ISNUMBER(H117),IF(J117&gt;29,"réduit",IF(SUM(K109:K116)&gt;1,"renforcé","normal")),"")</f>
        <v/>
      </c>
      <c r="D117" s="10"/>
      <c r="E117" s="10"/>
      <c r="F117" s="10"/>
      <c r="G117" s="10"/>
      <c r="H117" s="10"/>
      <c r="I117" s="8" t="str">
        <f t="shared" si="74"/>
        <v/>
      </c>
      <c r="J117" s="8">
        <f t="shared" si="75"/>
        <v>0</v>
      </c>
      <c r="K117" s="11" t="str">
        <f t="shared" si="76"/>
        <v/>
      </c>
    </row>
    <row r="118" spans="2:11" x14ac:dyDescent="0.25">
      <c r="B118" s="8">
        <v>114</v>
      </c>
      <c r="C118" s="8" t="str">
        <f t="shared" ref="C118" si="100">IF(ISNUMBER(H117),IF(J117&gt;29,"réduit",IF(SUM(K110:K117)&gt;1,"renforcé","normal")),"")</f>
        <v/>
      </c>
      <c r="D118" s="10"/>
      <c r="E118" s="10"/>
      <c r="F118" s="10"/>
      <c r="G118" s="10"/>
      <c r="H118" s="10"/>
      <c r="I118" s="8" t="str">
        <f t="shared" si="74"/>
        <v/>
      </c>
      <c r="J118" s="8">
        <f t="shared" si="75"/>
        <v>0</v>
      </c>
      <c r="K118" s="11" t="str">
        <f t="shared" si="76"/>
        <v/>
      </c>
    </row>
    <row r="119" spans="2:11" x14ac:dyDescent="0.25">
      <c r="B119" s="8">
        <v>115</v>
      </c>
      <c r="C119" s="8" t="str">
        <f t="shared" ref="C119" si="101">IF(ISNUMBER(H119),IF(J119&gt;29,"réduit",IF(SUM(K111:K118)&gt;1,"renforcé","normal")),"")</f>
        <v/>
      </c>
      <c r="D119" s="10"/>
      <c r="E119" s="10"/>
      <c r="F119" s="10"/>
      <c r="G119" s="10"/>
      <c r="H119" s="10"/>
      <c r="I119" s="8" t="str">
        <f t="shared" si="74"/>
        <v/>
      </c>
      <c r="J119" s="8">
        <f t="shared" si="75"/>
        <v>0</v>
      </c>
      <c r="K119" s="11" t="str">
        <f t="shared" si="76"/>
        <v/>
      </c>
    </row>
    <row r="120" spans="2:11" x14ac:dyDescent="0.25">
      <c r="B120" s="8">
        <v>116</v>
      </c>
      <c r="C120" s="8" t="str">
        <f t="shared" ref="C120" si="102">IF(ISNUMBER(H119),IF(J119&gt;29,"réduit",IF(SUM(K112:K119)&gt;1,"renforcé","normal")),"")</f>
        <v/>
      </c>
      <c r="D120" s="10"/>
      <c r="E120" s="10"/>
      <c r="F120" s="10"/>
      <c r="G120" s="10"/>
      <c r="H120" s="10"/>
      <c r="I120" s="8" t="str">
        <f t="shared" si="74"/>
        <v/>
      </c>
      <c r="J120" s="8">
        <f t="shared" si="75"/>
        <v>0</v>
      </c>
      <c r="K120" s="11" t="str">
        <f t="shared" si="76"/>
        <v/>
      </c>
    </row>
    <row r="121" spans="2:11" x14ac:dyDescent="0.25">
      <c r="B121" s="8">
        <v>117</v>
      </c>
      <c r="C121" s="8" t="str">
        <f t="shared" ref="C121" si="103">IF(ISNUMBER(H121),IF(J121&gt;29,"réduit",IF(SUM(K113:K120)&gt;1,"renforcé","normal")),"")</f>
        <v/>
      </c>
      <c r="D121" s="10"/>
      <c r="E121" s="10"/>
      <c r="F121" s="10"/>
      <c r="G121" s="10"/>
      <c r="H121" s="10"/>
      <c r="I121" s="8" t="str">
        <f t="shared" si="74"/>
        <v/>
      </c>
      <c r="J121" s="8">
        <f t="shared" si="75"/>
        <v>0</v>
      </c>
      <c r="K121" s="11" t="str">
        <f t="shared" si="76"/>
        <v/>
      </c>
    </row>
    <row r="122" spans="2:11" x14ac:dyDescent="0.25">
      <c r="B122" s="8">
        <v>118</v>
      </c>
      <c r="C122" s="8" t="str">
        <f t="shared" ref="C122" si="104">IF(ISNUMBER(H121),IF(J121&gt;29,"réduit",IF(SUM(K114:K121)&gt;1,"renforcé","normal")),"")</f>
        <v/>
      </c>
      <c r="D122" s="10"/>
      <c r="E122" s="10"/>
      <c r="F122" s="10"/>
      <c r="G122" s="10"/>
      <c r="H122" s="10"/>
      <c r="I122" s="8" t="str">
        <f t="shared" si="74"/>
        <v/>
      </c>
      <c r="J122" s="8">
        <f t="shared" si="75"/>
        <v>0</v>
      </c>
      <c r="K122" s="11" t="str">
        <f t="shared" si="76"/>
        <v/>
      </c>
    </row>
    <row r="123" spans="2:11" x14ac:dyDescent="0.25">
      <c r="B123" s="8">
        <v>119</v>
      </c>
      <c r="C123" s="8" t="str">
        <f t="shared" ref="C123" si="105">IF(ISNUMBER(H123),IF(J123&gt;29,"réduit",IF(SUM(K115:K122)&gt;1,"renforcé","normal")),"")</f>
        <v/>
      </c>
      <c r="D123" s="10"/>
      <c r="E123" s="10"/>
      <c r="F123" s="10"/>
      <c r="G123" s="10"/>
      <c r="H123" s="10"/>
      <c r="I123" s="8" t="str">
        <f t="shared" si="74"/>
        <v/>
      </c>
      <c r="J123" s="8">
        <f t="shared" si="75"/>
        <v>0</v>
      </c>
      <c r="K123" s="11" t="str">
        <f t="shared" si="76"/>
        <v/>
      </c>
    </row>
    <row r="124" spans="2:11" x14ac:dyDescent="0.25">
      <c r="B124" s="8">
        <v>120</v>
      </c>
      <c r="C124" s="8" t="str">
        <f t="shared" ref="C124" si="106">IF(ISNUMBER(H123),IF(J123&gt;29,"réduit",IF(SUM(K116:K123)&gt;1,"renforcé","normal")),"")</f>
        <v/>
      </c>
      <c r="D124" s="10"/>
      <c r="E124" s="10"/>
      <c r="F124" s="10"/>
      <c r="G124" s="10"/>
      <c r="H124" s="10"/>
      <c r="I124" s="8" t="str">
        <f t="shared" si="74"/>
        <v/>
      </c>
      <c r="J124" s="8">
        <f t="shared" si="75"/>
        <v>0</v>
      </c>
      <c r="K124" s="11" t="str">
        <f t="shared" si="76"/>
        <v/>
      </c>
    </row>
    <row r="125" spans="2:11" x14ac:dyDescent="0.25">
      <c r="B125" s="8">
        <v>121</v>
      </c>
      <c r="C125" s="8" t="str">
        <f t="shared" ref="C125" si="107">IF(ISNUMBER(H125),IF(J125&gt;29,"réduit",IF(SUM(K117:K124)&gt;1,"renforcé","normal")),"")</f>
        <v/>
      </c>
      <c r="D125" s="10"/>
      <c r="E125" s="10"/>
      <c r="F125" s="10"/>
      <c r="G125" s="10"/>
      <c r="H125" s="10"/>
      <c r="I125" s="8" t="str">
        <f t="shared" si="74"/>
        <v/>
      </c>
      <c r="J125" s="8">
        <f t="shared" si="75"/>
        <v>0</v>
      </c>
      <c r="K125" s="11" t="str">
        <f t="shared" si="76"/>
        <v/>
      </c>
    </row>
    <row r="126" spans="2:11" x14ac:dyDescent="0.25">
      <c r="B126" s="8">
        <v>122</v>
      </c>
      <c r="C126" s="8" t="str">
        <f t="shared" ref="C126" si="108">IF(ISNUMBER(H125),IF(J125&gt;29,"réduit",IF(SUM(K118:K125)&gt;1,"renforcé","normal")),"")</f>
        <v/>
      </c>
      <c r="D126" s="10"/>
      <c r="E126" s="10"/>
      <c r="F126" s="10"/>
      <c r="G126" s="10"/>
      <c r="H126" s="10"/>
      <c r="I126" s="8" t="str">
        <f t="shared" si="74"/>
        <v/>
      </c>
      <c r="J126" s="8">
        <f t="shared" si="75"/>
        <v>0</v>
      </c>
      <c r="K126" s="11" t="str">
        <f t="shared" si="76"/>
        <v/>
      </c>
    </row>
    <row r="127" spans="2:11" x14ac:dyDescent="0.25">
      <c r="B127" s="8">
        <v>123</v>
      </c>
      <c r="C127" s="8" t="str">
        <f t="shared" ref="C127" si="109">IF(ISNUMBER(H127),IF(J127&gt;29,"réduit",IF(SUM(K119:K126)&gt;1,"renforcé","normal")),"")</f>
        <v/>
      </c>
      <c r="D127" s="10"/>
      <c r="E127" s="10"/>
      <c r="F127" s="10"/>
      <c r="G127" s="10"/>
      <c r="H127" s="10"/>
      <c r="I127" s="8" t="str">
        <f t="shared" si="74"/>
        <v/>
      </c>
      <c r="J127" s="8">
        <f t="shared" si="75"/>
        <v>0</v>
      </c>
      <c r="K127" s="11" t="str">
        <f t="shared" si="76"/>
        <v/>
      </c>
    </row>
    <row r="128" spans="2:11" x14ac:dyDescent="0.25">
      <c r="B128" s="8">
        <v>124</v>
      </c>
      <c r="C128" s="8" t="str">
        <f t="shared" ref="C128" si="110">IF(ISNUMBER(H127),IF(J127&gt;29,"réduit",IF(SUM(K120:K127)&gt;1,"renforcé","normal")),"")</f>
        <v/>
      </c>
      <c r="D128" s="10"/>
      <c r="E128" s="10"/>
      <c r="F128" s="10"/>
      <c r="G128" s="10"/>
      <c r="H128" s="10"/>
      <c r="I128" s="8" t="str">
        <f t="shared" si="74"/>
        <v/>
      </c>
      <c r="J128" s="8">
        <f t="shared" si="75"/>
        <v>0</v>
      </c>
      <c r="K128" s="11" t="str">
        <f t="shared" si="76"/>
        <v/>
      </c>
    </row>
    <row r="129" spans="2:11" x14ac:dyDescent="0.25">
      <c r="B129" s="8">
        <v>125</v>
      </c>
      <c r="C129" s="8" t="str">
        <f t="shared" ref="C129" si="111">IF(ISNUMBER(H129),IF(J129&gt;29,"réduit",IF(SUM(K121:K128)&gt;1,"renforcé","normal")),"")</f>
        <v/>
      </c>
      <c r="D129" s="10"/>
      <c r="E129" s="10"/>
      <c r="F129" s="10"/>
      <c r="G129" s="10"/>
      <c r="H129" s="10"/>
      <c r="I129" s="8" t="str">
        <f t="shared" si="74"/>
        <v/>
      </c>
      <c r="J129" s="8">
        <f t="shared" si="75"/>
        <v>0</v>
      </c>
      <c r="K129" s="11" t="str">
        <f t="shared" si="76"/>
        <v/>
      </c>
    </row>
    <row r="130" spans="2:11" x14ac:dyDescent="0.25">
      <c r="B130" s="8">
        <v>126</v>
      </c>
      <c r="C130" s="8" t="str">
        <f t="shared" ref="C130" si="112">IF(ISNUMBER(H129),IF(J129&gt;29,"réduit",IF(SUM(K122:K129)&gt;1,"renforcé","normal")),"")</f>
        <v/>
      </c>
      <c r="D130" s="10"/>
      <c r="E130" s="10"/>
      <c r="F130" s="10"/>
      <c r="G130" s="10"/>
      <c r="H130" s="10"/>
      <c r="I130" s="8" t="str">
        <f t="shared" si="74"/>
        <v/>
      </c>
      <c r="J130" s="8">
        <f t="shared" si="75"/>
        <v>0</v>
      </c>
      <c r="K130" s="11" t="str">
        <f t="shared" si="76"/>
        <v/>
      </c>
    </row>
    <row r="131" spans="2:11" x14ac:dyDescent="0.25">
      <c r="B131" s="8">
        <v>127</v>
      </c>
      <c r="C131" s="8" t="str">
        <f t="shared" ref="C131" si="113">IF(ISNUMBER(H131),IF(J131&gt;29,"réduit",IF(SUM(K123:K130)&gt;1,"renforcé","normal")),"")</f>
        <v/>
      </c>
      <c r="D131" s="10"/>
      <c r="E131" s="10"/>
      <c r="F131" s="10"/>
      <c r="G131" s="10"/>
      <c r="H131" s="10"/>
      <c r="I131" s="8" t="str">
        <f t="shared" si="74"/>
        <v/>
      </c>
      <c r="J131" s="8">
        <f t="shared" si="75"/>
        <v>0</v>
      </c>
      <c r="K131" s="11" t="str">
        <f t="shared" si="76"/>
        <v/>
      </c>
    </row>
    <row r="132" spans="2:11" x14ac:dyDescent="0.25">
      <c r="B132" s="8">
        <v>128</v>
      </c>
      <c r="C132" s="8" t="str">
        <f t="shared" ref="C132" si="114">IF(ISNUMBER(H131),IF(J131&gt;29,"réduit",IF(SUM(K124:K131)&gt;1,"renforcé","normal")),"")</f>
        <v/>
      </c>
      <c r="D132" s="10"/>
      <c r="E132" s="10"/>
      <c r="F132" s="10"/>
      <c r="G132" s="10"/>
      <c r="H132" s="10"/>
      <c r="I132" s="8" t="str">
        <f t="shared" si="74"/>
        <v/>
      </c>
      <c r="J132" s="8">
        <f t="shared" si="75"/>
        <v>0</v>
      </c>
      <c r="K132" s="11" t="str">
        <f t="shared" si="76"/>
        <v/>
      </c>
    </row>
    <row r="133" spans="2:11" x14ac:dyDescent="0.25">
      <c r="B133" s="8">
        <v>129</v>
      </c>
      <c r="C133" s="8" t="str">
        <f t="shared" ref="C133" si="115">IF(ISNUMBER(H133),IF(J133&gt;29,"réduit",IF(SUM(K125:K132)&gt;1,"renforcé","normal")),"")</f>
        <v/>
      </c>
      <c r="D133" s="10"/>
      <c r="E133" s="10"/>
      <c r="F133" s="10"/>
      <c r="G133" s="10"/>
      <c r="H133" s="10"/>
      <c r="I133" s="8" t="str">
        <f t="shared" si="74"/>
        <v/>
      </c>
      <c r="J133" s="8">
        <f t="shared" si="75"/>
        <v>0</v>
      </c>
      <c r="K133" s="11" t="str">
        <f t="shared" si="76"/>
        <v/>
      </c>
    </row>
    <row r="134" spans="2:11" x14ac:dyDescent="0.25">
      <c r="B134" s="8">
        <v>130</v>
      </c>
      <c r="C134" s="8" t="str">
        <f t="shared" ref="C134" si="116">IF(ISNUMBER(H133),IF(J133&gt;29,"réduit",IF(SUM(K126:K133)&gt;1,"renforcé","normal")),"")</f>
        <v/>
      </c>
      <c r="D134" s="10"/>
      <c r="E134" s="10"/>
      <c r="F134" s="10"/>
      <c r="G134" s="10"/>
      <c r="H134" s="10"/>
      <c r="I134" s="8" t="str">
        <f t="shared" si="74"/>
        <v/>
      </c>
      <c r="J134" s="8">
        <f t="shared" si="75"/>
        <v>0</v>
      </c>
      <c r="K134" s="11" t="str">
        <f t="shared" si="76"/>
        <v/>
      </c>
    </row>
    <row r="135" spans="2:11" x14ac:dyDescent="0.25">
      <c r="B135" s="8">
        <v>131</v>
      </c>
      <c r="C135" s="8" t="str">
        <f t="shared" ref="C135" si="117">IF(ISNUMBER(H135),IF(J135&gt;29,"réduit",IF(SUM(K127:K134)&gt;1,"renforcé","normal")),"")</f>
        <v/>
      </c>
      <c r="D135" s="10"/>
      <c r="E135" s="10"/>
      <c r="F135" s="10"/>
      <c r="G135" s="10"/>
      <c r="H135" s="10"/>
      <c r="I135" s="8" t="str">
        <f t="shared" si="74"/>
        <v/>
      </c>
      <c r="J135" s="8">
        <f t="shared" si="75"/>
        <v>0</v>
      </c>
      <c r="K135" s="11" t="str">
        <f t="shared" si="76"/>
        <v/>
      </c>
    </row>
    <row r="136" spans="2:11" x14ac:dyDescent="0.25">
      <c r="B136" s="8">
        <v>132</v>
      </c>
      <c r="C136" s="8" t="str">
        <f t="shared" ref="C136" si="118">IF(ISNUMBER(H135),IF(J135&gt;29,"réduit",IF(SUM(K128:K135)&gt;1,"renforcé","normal")),"")</f>
        <v/>
      </c>
      <c r="D136" s="10"/>
      <c r="E136" s="10"/>
      <c r="F136" s="10"/>
      <c r="G136" s="10"/>
      <c r="H136" s="10"/>
      <c r="I136" s="8" t="str">
        <f t="shared" si="74"/>
        <v/>
      </c>
      <c r="J136" s="8">
        <f t="shared" si="75"/>
        <v>0</v>
      </c>
      <c r="K136" s="11" t="str">
        <f t="shared" si="76"/>
        <v/>
      </c>
    </row>
    <row r="137" spans="2:11" x14ac:dyDescent="0.25">
      <c r="B137" s="8">
        <v>133</v>
      </c>
      <c r="C137" s="8" t="str">
        <f t="shared" ref="C137" si="119">IF(ISNUMBER(H137),IF(J137&gt;29,"réduit",IF(SUM(K129:K136)&gt;1,"renforcé","normal")),"")</f>
        <v/>
      </c>
      <c r="D137" s="10"/>
      <c r="E137" s="10"/>
      <c r="F137" s="10"/>
      <c r="G137" s="10"/>
      <c r="H137" s="10"/>
      <c r="I137" s="8" t="str">
        <f t="shared" si="74"/>
        <v/>
      </c>
      <c r="J137" s="8">
        <f t="shared" si="75"/>
        <v>0</v>
      </c>
      <c r="K137" s="11" t="str">
        <f t="shared" si="76"/>
        <v/>
      </c>
    </row>
    <row r="138" spans="2:11" x14ac:dyDescent="0.25">
      <c r="B138" s="8">
        <v>134</v>
      </c>
      <c r="C138" s="8" t="str">
        <f t="shared" ref="C138" si="120">IF(ISNUMBER(H137),IF(J137&gt;29,"réduit",IF(SUM(K130:K137)&gt;1,"renforcé","normal")),"")</f>
        <v/>
      </c>
      <c r="D138" s="10"/>
      <c r="E138" s="10"/>
      <c r="F138" s="10"/>
      <c r="G138" s="10"/>
      <c r="H138" s="10"/>
      <c r="I138" s="8" t="str">
        <f t="shared" si="74"/>
        <v/>
      </c>
      <c r="J138" s="8">
        <f t="shared" si="75"/>
        <v>0</v>
      </c>
      <c r="K138" s="11" t="str">
        <f t="shared" si="76"/>
        <v/>
      </c>
    </row>
    <row r="139" spans="2:11" x14ac:dyDescent="0.25">
      <c r="B139" s="8">
        <v>135</v>
      </c>
      <c r="C139" s="8" t="str">
        <f t="shared" ref="C139" si="121">IF(ISNUMBER(H139),IF(J139&gt;29,"réduit",IF(SUM(K131:K138)&gt;1,"renforcé","normal")),"")</f>
        <v/>
      </c>
      <c r="D139" s="10"/>
      <c r="E139" s="10"/>
      <c r="F139" s="10"/>
      <c r="G139" s="10"/>
      <c r="H139" s="10"/>
      <c r="I139" s="8" t="str">
        <f t="shared" si="74"/>
        <v/>
      </c>
      <c r="J139" s="8">
        <f t="shared" si="75"/>
        <v>0</v>
      </c>
      <c r="K139" s="11" t="str">
        <f t="shared" si="76"/>
        <v/>
      </c>
    </row>
  </sheetData>
  <mergeCells count="1">
    <mergeCell ref="B3:C3"/>
  </mergeCells>
  <conditionalFormatting sqref="C6:C139">
    <cfRule type="cellIs" dxfId="4" priority="3" operator="equal">
      <formula>"réduit"</formula>
    </cfRule>
    <cfRule type="cellIs" dxfId="3" priority="4" operator="equal">
      <formula>"renforcé"</formula>
    </cfRule>
    <cfRule type="cellIs" dxfId="2" priority="5" operator="equal">
      <formula>"normal"</formula>
    </cfRule>
  </conditionalFormatting>
  <conditionalFormatting sqref="I5:I139">
    <cfRule type="cellIs" dxfId="1" priority="1" operator="equal">
      <formula>"nc"</formula>
    </cfRule>
    <cfRule type="cellIs" dxfId="0" priority="2" operator="equal">
      <formula>"ok"</formula>
    </cfRule>
  </conditionalFormatting>
  <pageMargins left="0.7" right="0.7" top="0.75" bottom="0.75" header="0.3" footer="0.3"/>
  <pageSetup paperSize="9" orientation="portrait" horizontalDpi="300" verticalDpi="300" r:id="rId1"/>
  <ignoredErrors>
    <ignoredError sqref="C29:C13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 Colliou</dc:creator>
  <cp:lastModifiedBy>morgan Germa Colliou</cp:lastModifiedBy>
  <dcterms:created xsi:type="dcterms:W3CDTF">2025-11-17T09:49:16Z</dcterms:created>
  <dcterms:modified xsi:type="dcterms:W3CDTF">2025-11-17T09:51:05Z</dcterms:modified>
</cp:coreProperties>
</file>