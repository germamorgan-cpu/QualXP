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rgan gc\Desktop\EmVisage\Morgan\Statistique\Excel\Excel pro\"/>
    </mc:Choice>
  </mc:AlternateContent>
  <xr:revisionPtr revIDLastSave="0" documentId="13_ncr:1_{D4A88461-51E5-4D34-A5AC-E87C1ACFA654}" xr6:coauthVersionLast="47" xr6:coauthVersionMax="47" xr10:uidLastSave="{00000000-0000-0000-0000-000000000000}"/>
  <bookViews>
    <workbookView xWindow="0" yWindow="375" windowWidth="27300" windowHeight="15105" activeTab="1" xr2:uid="{00000000-000D-0000-FFFF-FFFF00000000}"/>
  </bookViews>
  <sheets>
    <sheet name="analyse de risque" sheetId="1" r:id="rId1"/>
    <sheet name="planning oppere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" i="3" l="1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7" i="3"/>
  <c r="AD34" i="1"/>
  <c r="AD40" i="1"/>
  <c r="AD46" i="1"/>
  <c r="AD52" i="1"/>
  <c r="AD58" i="1"/>
  <c r="AC35" i="1"/>
  <c r="AC41" i="1"/>
  <c r="AC47" i="1"/>
  <c r="AC53" i="1"/>
  <c r="AA58" i="1"/>
  <c r="AB58" i="1"/>
  <c r="AA32" i="1"/>
  <c r="AB32" i="1"/>
  <c r="AA33" i="1"/>
  <c r="AB33" i="1"/>
  <c r="AA34" i="1"/>
  <c r="AB34" i="1"/>
  <c r="AA35" i="1"/>
  <c r="AB35" i="1"/>
  <c r="AA36" i="1"/>
  <c r="AB36" i="1"/>
  <c r="AA37" i="1"/>
  <c r="AB37" i="1"/>
  <c r="AA38" i="1"/>
  <c r="AB38" i="1"/>
  <c r="AA39" i="1"/>
  <c r="AB39" i="1"/>
  <c r="AA40" i="1"/>
  <c r="AB40" i="1"/>
  <c r="AA41" i="1"/>
  <c r="AB41" i="1"/>
  <c r="AA42" i="1"/>
  <c r="AB42" i="1"/>
  <c r="AA43" i="1"/>
  <c r="AB43" i="1"/>
  <c r="AA44" i="1"/>
  <c r="AB44" i="1"/>
  <c r="AA45" i="1"/>
  <c r="AB45" i="1"/>
  <c r="AA46" i="1"/>
  <c r="AB46" i="1"/>
  <c r="AA47" i="1"/>
  <c r="AB47" i="1"/>
  <c r="AA48" i="1"/>
  <c r="AB48" i="1"/>
  <c r="AA49" i="1"/>
  <c r="AB49" i="1"/>
  <c r="AA50" i="1"/>
  <c r="AB50" i="1"/>
  <c r="AA51" i="1"/>
  <c r="AB51" i="1"/>
  <c r="AA52" i="1"/>
  <c r="AB52" i="1"/>
  <c r="AA53" i="1"/>
  <c r="AB53" i="1"/>
  <c r="AA54" i="1"/>
  <c r="AB54" i="1"/>
  <c r="AA55" i="1"/>
  <c r="AB55" i="1"/>
  <c r="AA56" i="1"/>
  <c r="AB56" i="1"/>
  <c r="AA57" i="1"/>
  <c r="AB57" i="1"/>
  <c r="U26" i="1"/>
  <c r="Y27" i="1"/>
  <c r="U29" i="1"/>
  <c r="Y30" i="1"/>
  <c r="T32" i="1"/>
  <c r="AC32" i="1" s="1"/>
  <c r="U32" i="1"/>
  <c r="V32" i="1"/>
  <c r="W32" i="1"/>
  <c r="X32" i="1"/>
  <c r="Y32" i="1"/>
  <c r="Z32" i="1"/>
  <c r="T33" i="1"/>
  <c r="AD33" i="1" s="1"/>
  <c r="U33" i="1"/>
  <c r="V33" i="1"/>
  <c r="W33" i="1"/>
  <c r="X33" i="1"/>
  <c r="Y33" i="1"/>
  <c r="Z33" i="1"/>
  <c r="T34" i="1"/>
  <c r="AC34" i="1" s="1"/>
  <c r="U34" i="1"/>
  <c r="V34" i="1"/>
  <c r="W34" i="1"/>
  <c r="X34" i="1"/>
  <c r="Y34" i="1"/>
  <c r="Z34" i="1"/>
  <c r="T35" i="1"/>
  <c r="AD35" i="1" s="1"/>
  <c r="U35" i="1"/>
  <c r="V35" i="1"/>
  <c r="W35" i="1"/>
  <c r="X35" i="1"/>
  <c r="Y35" i="1"/>
  <c r="Z35" i="1"/>
  <c r="T36" i="1"/>
  <c r="AC36" i="1" s="1"/>
  <c r="U36" i="1"/>
  <c r="V36" i="1"/>
  <c r="W36" i="1"/>
  <c r="X36" i="1"/>
  <c r="Y36" i="1"/>
  <c r="Z36" i="1"/>
  <c r="T37" i="1"/>
  <c r="AC37" i="1" s="1"/>
  <c r="U37" i="1"/>
  <c r="V37" i="1"/>
  <c r="W37" i="1"/>
  <c r="X37" i="1"/>
  <c r="Y37" i="1"/>
  <c r="Z37" i="1"/>
  <c r="T38" i="1"/>
  <c r="AC38" i="1" s="1"/>
  <c r="U38" i="1"/>
  <c r="V38" i="1"/>
  <c r="W38" i="1"/>
  <c r="X38" i="1"/>
  <c r="Y38" i="1"/>
  <c r="Z38" i="1"/>
  <c r="T39" i="1"/>
  <c r="AD39" i="1" s="1"/>
  <c r="U39" i="1"/>
  <c r="V39" i="1"/>
  <c r="W39" i="1"/>
  <c r="X39" i="1"/>
  <c r="Y39" i="1"/>
  <c r="Z39" i="1"/>
  <c r="T40" i="1"/>
  <c r="AC40" i="1" s="1"/>
  <c r="U40" i="1"/>
  <c r="V40" i="1"/>
  <c r="W40" i="1"/>
  <c r="X40" i="1"/>
  <c r="Y40" i="1"/>
  <c r="Z40" i="1"/>
  <c r="T41" i="1"/>
  <c r="AD41" i="1" s="1"/>
  <c r="U41" i="1"/>
  <c r="V41" i="1"/>
  <c r="W41" i="1"/>
  <c r="X41" i="1"/>
  <c r="Y41" i="1"/>
  <c r="Z41" i="1"/>
  <c r="T42" i="1"/>
  <c r="AC42" i="1" s="1"/>
  <c r="U42" i="1"/>
  <c r="V42" i="1"/>
  <c r="W42" i="1"/>
  <c r="X42" i="1"/>
  <c r="Y42" i="1"/>
  <c r="Z42" i="1"/>
  <c r="T43" i="1"/>
  <c r="AC43" i="1" s="1"/>
  <c r="U43" i="1"/>
  <c r="V43" i="1"/>
  <c r="W43" i="1"/>
  <c r="X43" i="1"/>
  <c r="Y43" i="1"/>
  <c r="Z43" i="1"/>
  <c r="T44" i="1"/>
  <c r="AC44" i="1" s="1"/>
  <c r="U44" i="1"/>
  <c r="V44" i="1"/>
  <c r="W44" i="1"/>
  <c r="X44" i="1"/>
  <c r="Y44" i="1"/>
  <c r="Z44" i="1"/>
  <c r="T45" i="1"/>
  <c r="AD45" i="1" s="1"/>
  <c r="U45" i="1"/>
  <c r="V45" i="1"/>
  <c r="W45" i="1"/>
  <c r="X45" i="1"/>
  <c r="Y45" i="1"/>
  <c r="Z45" i="1"/>
  <c r="T46" i="1"/>
  <c r="AC46" i="1" s="1"/>
  <c r="U46" i="1"/>
  <c r="V46" i="1"/>
  <c r="W46" i="1"/>
  <c r="X46" i="1"/>
  <c r="Y46" i="1"/>
  <c r="Z46" i="1"/>
  <c r="T47" i="1"/>
  <c r="AD47" i="1" s="1"/>
  <c r="U47" i="1"/>
  <c r="V47" i="1"/>
  <c r="W47" i="1"/>
  <c r="X47" i="1"/>
  <c r="Y47" i="1"/>
  <c r="Z47" i="1"/>
  <c r="T48" i="1"/>
  <c r="AC48" i="1" s="1"/>
  <c r="U48" i="1"/>
  <c r="V48" i="1"/>
  <c r="W48" i="1"/>
  <c r="X48" i="1"/>
  <c r="Y48" i="1"/>
  <c r="Z48" i="1"/>
  <c r="T49" i="1"/>
  <c r="AC49" i="1" s="1"/>
  <c r="U49" i="1"/>
  <c r="V49" i="1"/>
  <c r="W49" i="1"/>
  <c r="X49" i="1"/>
  <c r="Y49" i="1"/>
  <c r="Z49" i="1"/>
  <c r="T50" i="1"/>
  <c r="AC50" i="1" s="1"/>
  <c r="U50" i="1"/>
  <c r="V50" i="1"/>
  <c r="W50" i="1"/>
  <c r="X50" i="1"/>
  <c r="Y50" i="1"/>
  <c r="Z50" i="1"/>
  <c r="T51" i="1"/>
  <c r="AD51" i="1" s="1"/>
  <c r="U51" i="1"/>
  <c r="V51" i="1"/>
  <c r="W51" i="1"/>
  <c r="X51" i="1"/>
  <c r="Y51" i="1"/>
  <c r="Z51" i="1"/>
  <c r="T52" i="1"/>
  <c r="AC52" i="1" s="1"/>
  <c r="U52" i="1"/>
  <c r="V52" i="1"/>
  <c r="W52" i="1"/>
  <c r="X52" i="1"/>
  <c r="Y52" i="1"/>
  <c r="Z52" i="1"/>
  <c r="T53" i="1"/>
  <c r="AD53" i="1" s="1"/>
  <c r="U53" i="1"/>
  <c r="V53" i="1"/>
  <c r="W53" i="1"/>
  <c r="X53" i="1"/>
  <c r="Y53" i="1"/>
  <c r="Z53" i="1"/>
  <c r="T54" i="1"/>
  <c r="AC54" i="1" s="1"/>
  <c r="U54" i="1"/>
  <c r="V54" i="1"/>
  <c r="W54" i="1"/>
  <c r="X54" i="1"/>
  <c r="Y54" i="1"/>
  <c r="Z54" i="1"/>
  <c r="T55" i="1"/>
  <c r="AC55" i="1" s="1"/>
  <c r="U55" i="1"/>
  <c r="V55" i="1"/>
  <c r="W55" i="1"/>
  <c r="X55" i="1"/>
  <c r="Y55" i="1"/>
  <c r="Z55" i="1"/>
  <c r="T56" i="1"/>
  <c r="AC56" i="1" s="1"/>
  <c r="U56" i="1"/>
  <c r="V56" i="1"/>
  <c r="W56" i="1"/>
  <c r="X56" i="1"/>
  <c r="Y56" i="1"/>
  <c r="Z56" i="1"/>
  <c r="T57" i="1"/>
  <c r="AD57" i="1" s="1"/>
  <c r="U57" i="1"/>
  <c r="V57" i="1"/>
  <c r="W57" i="1"/>
  <c r="X57" i="1"/>
  <c r="Y57" i="1"/>
  <c r="Z57" i="1"/>
  <c r="T58" i="1"/>
  <c r="AC58" i="1" s="1"/>
  <c r="U58" i="1"/>
  <c r="V58" i="1"/>
  <c r="W58" i="1"/>
  <c r="X58" i="1"/>
  <c r="Y58" i="1"/>
  <c r="Z58" i="1"/>
  <c r="Y24" i="1"/>
  <c r="L23" i="1"/>
  <c r="AB29" i="1" s="1"/>
  <c r="K23" i="1"/>
  <c r="AA29" i="1" s="1"/>
  <c r="J23" i="1"/>
  <c r="I23" i="1"/>
  <c r="H23" i="1"/>
  <c r="G23" i="1"/>
  <c r="F23" i="1"/>
  <c r="E23" i="1"/>
  <c r="D23" i="1"/>
  <c r="L22" i="1"/>
  <c r="AB28" i="1" s="1"/>
  <c r="K22" i="1"/>
  <c r="AA27" i="1" s="1"/>
  <c r="J22" i="1"/>
  <c r="Z26" i="1" s="1"/>
  <c r="I22" i="1"/>
  <c r="Y25" i="1" s="1"/>
  <c r="H22" i="1"/>
  <c r="X27" i="1" s="1"/>
  <c r="G22" i="1"/>
  <c r="W25" i="1" s="1"/>
  <c r="F22" i="1"/>
  <c r="V25" i="1" s="1"/>
  <c r="E22" i="1"/>
  <c r="U27" i="1" s="1"/>
  <c r="D22" i="1"/>
  <c r="T26" i="1" s="1"/>
  <c r="W24" i="1" l="1"/>
  <c r="AA31" i="1"/>
  <c r="U31" i="1"/>
  <c r="W30" i="1"/>
  <c r="Y29" i="1"/>
  <c r="AA28" i="1"/>
  <c r="U28" i="1"/>
  <c r="W27" i="1"/>
  <c r="Y26" i="1"/>
  <c r="AA25" i="1"/>
  <c r="U25" i="1"/>
  <c r="AB27" i="1"/>
  <c r="AC57" i="1"/>
  <c r="AC51" i="1"/>
  <c r="AC45" i="1"/>
  <c r="AC39" i="1"/>
  <c r="AC33" i="1"/>
  <c r="AD56" i="1"/>
  <c r="AD50" i="1"/>
  <c r="AD44" i="1"/>
  <c r="AD38" i="1"/>
  <c r="AD32" i="1"/>
  <c r="AA26" i="1"/>
  <c r="T24" i="1"/>
  <c r="V24" i="1"/>
  <c r="Z31" i="1"/>
  <c r="T31" i="1"/>
  <c r="V30" i="1"/>
  <c r="X29" i="1"/>
  <c r="Z28" i="1"/>
  <c r="T28" i="1"/>
  <c r="V27" i="1"/>
  <c r="X26" i="1"/>
  <c r="Z25" i="1"/>
  <c r="T25" i="1"/>
  <c r="AB26" i="1"/>
  <c r="AD55" i="1"/>
  <c r="AD49" i="1"/>
  <c r="AD43" i="1"/>
  <c r="AD37" i="1"/>
  <c r="AA24" i="1"/>
  <c r="U24" i="1"/>
  <c r="Y31" i="1"/>
  <c r="AA30" i="1"/>
  <c r="U30" i="1"/>
  <c r="W29" i="1"/>
  <c r="Y28" i="1"/>
  <c r="W26" i="1"/>
  <c r="AB31" i="1"/>
  <c r="AB25" i="1"/>
  <c r="AD54" i="1"/>
  <c r="AD48" i="1"/>
  <c r="AD42" i="1"/>
  <c r="AD36" i="1"/>
  <c r="Z24" i="1"/>
  <c r="X31" i="1"/>
  <c r="Z30" i="1"/>
  <c r="T30" i="1"/>
  <c r="V29" i="1"/>
  <c r="X28" i="1"/>
  <c r="Z27" i="1"/>
  <c r="T27" i="1"/>
  <c r="V26" i="1"/>
  <c r="AC26" i="1" s="1"/>
  <c r="X25" i="1"/>
  <c r="AB30" i="1"/>
  <c r="AB24" i="1"/>
  <c r="W31" i="1"/>
  <c r="W28" i="1"/>
  <c r="X24" i="1"/>
  <c r="V31" i="1"/>
  <c r="X30" i="1"/>
  <c r="Z29" i="1"/>
  <c r="T29" i="1"/>
  <c r="V28" i="1"/>
  <c r="AC24" i="1" l="1"/>
  <c r="AC30" i="1"/>
  <c r="AC31" i="1"/>
  <c r="AC27" i="1"/>
  <c r="AC29" i="1"/>
  <c r="AC28" i="1"/>
  <c r="AC25" i="1"/>
  <c r="AC22" i="1" l="1"/>
  <c r="AC23" i="1"/>
  <c r="O24" i="1"/>
  <c r="N26" i="1"/>
  <c r="O27" i="1"/>
  <c r="N29" i="1"/>
  <c r="N27" i="1"/>
  <c r="O26" i="1"/>
  <c r="O29" i="1"/>
  <c r="N31" i="1"/>
  <c r="N25" i="1"/>
  <c r="N28" i="1"/>
  <c r="N30" i="1"/>
  <c r="O31" i="1"/>
  <c r="O25" i="1"/>
  <c r="O28" i="1"/>
  <c r="O30" i="1"/>
  <c r="N24" i="1"/>
  <c r="AD26" i="1" l="1"/>
  <c r="P26" i="1" s="1"/>
  <c r="D9" i="3" s="1"/>
  <c r="AD31" i="1"/>
  <c r="AD28" i="1"/>
  <c r="AD30" i="1"/>
  <c r="AD27" i="1"/>
  <c r="P27" i="1" s="1"/>
  <c r="D10" i="3" s="1"/>
  <c r="AD29" i="1"/>
  <c r="P29" i="1" s="1"/>
  <c r="D12" i="3" s="1"/>
  <c r="AD24" i="1"/>
  <c r="AD25" i="1"/>
  <c r="P25" i="1" s="1"/>
  <c r="D8" i="3" s="1"/>
  <c r="P28" i="1"/>
  <c r="D11" i="3" s="1"/>
  <c r="P24" i="1"/>
  <c r="D7" i="3" s="1"/>
  <c r="P31" i="1"/>
  <c r="D14" i="3" s="1"/>
  <c r="P30" i="1"/>
  <c r="D13" i="3" s="1"/>
</calcChain>
</file>

<file path=xl/sharedStrings.xml><?xml version="1.0" encoding="utf-8"?>
<sst xmlns="http://schemas.openxmlformats.org/spreadsheetml/2006/main" count="150" uniqueCount="84">
  <si>
    <t>Critères</t>
  </si>
  <si>
    <t>Critères d'influences</t>
  </si>
  <si>
    <t>C1</t>
  </si>
  <si>
    <t>Conséquence d'une mauvaise mesure</t>
  </si>
  <si>
    <t>C2</t>
  </si>
  <si>
    <t>C3</t>
  </si>
  <si>
    <t>Capabilité process (5M)</t>
  </si>
  <si>
    <t>C4</t>
  </si>
  <si>
    <t>Dérive de l'équipement</t>
  </si>
  <si>
    <t>C5</t>
  </si>
  <si>
    <t>Détection des anomalies</t>
  </si>
  <si>
    <t>C6</t>
  </si>
  <si>
    <t>Facteurs aggravants</t>
  </si>
  <si>
    <t>C7</t>
  </si>
  <si>
    <t>C8</t>
  </si>
  <si>
    <t>C9</t>
  </si>
  <si>
    <t>Contrainte des couts</t>
  </si>
  <si>
    <t>Contraintes opérationnelles</t>
  </si>
  <si>
    <t>intervention sur l'équipement</t>
  </si>
  <si>
    <t>NG</t>
  </si>
  <si>
    <t>Parc d'équipements</t>
  </si>
  <si>
    <t>Critère C</t>
  </si>
  <si>
    <t>Famille / service</t>
  </si>
  <si>
    <t>Moyenne Famille</t>
  </si>
  <si>
    <t>Périodicité (en mois)</t>
  </si>
  <si>
    <t>Ecart-type Famille</t>
  </si>
  <si>
    <t>NG globale</t>
  </si>
  <si>
    <t>Pact</t>
  </si>
  <si>
    <t>Pmoy</t>
  </si>
  <si>
    <t>Pmax</t>
  </si>
  <si>
    <t>OPPERET</t>
  </si>
  <si>
    <t>Facteurs quantitatifs</t>
  </si>
  <si>
    <t>indice</t>
  </si>
  <si>
    <t>Capabilité limité</t>
  </si>
  <si>
    <t>Capabilité correcte</t>
  </si>
  <si>
    <t>Capabilité largement suffisante</t>
  </si>
  <si>
    <t>Capabilité process : Tolérance pdt/Uprocessus</t>
  </si>
  <si>
    <t>Facteur qualitatifs</t>
  </si>
  <si>
    <t>Conséquence grave</t>
  </si>
  <si>
    <t>Conséquence moyenne</t>
  </si>
  <si>
    <t>Pas de conséquence</t>
  </si>
  <si>
    <t>heat gun</t>
  </si>
  <si>
    <t>soldering</t>
  </si>
  <si>
    <t>295 XXX</t>
  </si>
  <si>
    <t>Conséquence d'une mauvaise mesure/process</t>
  </si>
  <si>
    <t>par l'operateur</t>
  </si>
  <si>
    <t>contrôle supplementaire</t>
  </si>
  <si>
    <t>impossible</t>
  </si>
  <si>
    <t>a chaque demarage</t>
  </si>
  <si>
    <t>reguliere</t>
  </si>
  <si>
    <t>annuelle</t>
  </si>
  <si>
    <t>competence interne</t>
  </si>
  <si>
    <t>competence externe</t>
  </si>
  <si>
    <t>peu cher</t>
  </si>
  <si>
    <t>acceptable</t>
  </si>
  <si>
    <t>elevé</t>
  </si>
  <si>
    <t>simple d'utilisation</t>
  </si>
  <si>
    <t>Cpk &lt; 1,3</t>
  </si>
  <si>
    <t>Cpk &lt; 1,66</t>
  </si>
  <si>
    <t>Cpk &lt; 1</t>
  </si>
  <si>
    <t>l'historique montre une dérive "classique" donc 0</t>
  </si>
  <si>
    <t>haute T°C, acide/base/force, etc</t>
  </si>
  <si>
    <t>RAS</t>
  </si>
  <si>
    <t>Capabilité/capacité du moyen de contrôle</t>
  </si>
  <si>
    <t>my</t>
  </si>
  <si>
    <t>S</t>
  </si>
  <si>
    <t>Capabilité du moyen de mesure: Uprocess / EMT</t>
  </si>
  <si>
    <t>Dérive de l'équipement : EMT/dérive</t>
  </si>
  <si>
    <t>Intervention sur l'équipement</t>
  </si>
  <si>
    <t>Famille</t>
  </si>
  <si>
    <t>N° ID</t>
  </si>
  <si>
    <t>Année : 2016</t>
  </si>
  <si>
    <t>Année : 2017</t>
  </si>
  <si>
    <t>Année : 2018</t>
  </si>
  <si>
    <t>Opperet (mois)</t>
  </si>
  <si>
    <t>Année : 2019</t>
  </si>
  <si>
    <t>Année : 2020</t>
  </si>
  <si>
    <t>mois</t>
  </si>
  <si>
    <t>P</t>
  </si>
  <si>
    <t>R</t>
  </si>
  <si>
    <t>planifié - deadline</t>
  </si>
  <si>
    <t>réalisé - succés</t>
  </si>
  <si>
    <t xml:space="preserve">X </t>
  </si>
  <si>
    <t>rebut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</si>
</sst>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SAPIcons"/>
      <charset val="2"/>
    </font>
  </fonts>
  <fills count="1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2" fillId="0" borderId="0" xfId="0" applyFont="1"/>
    <xf numFmtId="2" fontId="2" fillId="0" borderId="1" xfId="0" applyNumberFormat="1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center"/>
    </xf>
    <xf numFmtId="0" fontId="2" fillId="0" borderId="0" xfId="0" applyFont="1" applyFill="1" applyAlignment="1">
      <alignment horizontal="right"/>
    </xf>
    <xf numFmtId="0" fontId="2" fillId="0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/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2" fontId="2" fillId="6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3" fillId="4" borderId="1" xfId="0" applyNumberFormat="1" applyFont="1" applyFill="1" applyBorder="1" applyAlignment="1">
      <alignment horizontal="center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center" vertical="center"/>
    </xf>
    <xf numFmtId="2" fontId="1" fillId="0" borderId="0" xfId="0" applyNumberFormat="1" applyFont="1" applyFill="1" applyBorder="1" applyAlignment="1">
      <alignment horizontal="center" vertical="center"/>
    </xf>
    <xf numFmtId="0" fontId="0" fillId="0" borderId="0" xfId="0"/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1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11" borderId="1" xfId="0" applyFont="1" applyFill="1" applyBorder="1" applyAlignment="1">
      <alignment horizontal="left" vertical="top"/>
    </xf>
    <xf numFmtId="0" fontId="2" fillId="12" borderId="2" xfId="0" applyFont="1" applyFill="1" applyBorder="1" applyAlignment="1">
      <alignment horizontal="center"/>
    </xf>
    <xf numFmtId="0" fontId="2" fillId="12" borderId="3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12" borderId="9" xfId="0" applyFont="1" applyFill="1" applyBorder="1" applyAlignment="1">
      <alignment horizontal="center"/>
    </xf>
    <xf numFmtId="0" fontId="2" fillId="12" borderId="8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435428</xdr:colOff>
      <xdr:row>20</xdr:row>
      <xdr:rowOff>68036</xdr:rowOff>
    </xdr:from>
    <xdr:to>
      <xdr:col>25</xdr:col>
      <xdr:colOff>204108</xdr:colOff>
      <xdr:row>39</xdr:row>
      <xdr:rowOff>112680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4203946" y="2355947"/>
          <a:ext cx="3664144" cy="67083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F59"/>
  <sheetViews>
    <sheetView showGridLines="0" zoomScale="70" zoomScaleNormal="70" workbookViewId="0">
      <pane ySplit="18" topLeftCell="A19" activePane="bottomLeft" state="frozen"/>
      <selection pane="bottomLeft" activeCell="AI38" sqref="AI38"/>
    </sheetView>
  </sheetViews>
  <sheetFormatPr baseColWidth="10" defaultColWidth="11.42578125" defaultRowHeight="15"/>
  <cols>
    <col min="1" max="15" width="11.42578125" style="7"/>
    <col min="16" max="16" width="12.28515625" style="7" customWidth="1"/>
    <col min="17" max="17" width="11.42578125" style="7"/>
    <col min="18" max="18" width="12.7109375" style="7" customWidth="1"/>
    <col min="19" max="16384" width="11.42578125" style="7"/>
  </cols>
  <sheetData>
    <row r="2" spans="2:25">
      <c r="I2" s="66" t="s">
        <v>31</v>
      </c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8"/>
    </row>
    <row r="3" spans="2:25">
      <c r="H3" s="10" t="s">
        <v>4</v>
      </c>
      <c r="I3" s="11" t="s">
        <v>32</v>
      </c>
      <c r="J3" s="47" t="s">
        <v>66</v>
      </c>
      <c r="K3" s="48"/>
      <c r="L3" s="48"/>
      <c r="M3" s="49"/>
      <c r="N3" s="12" t="s">
        <v>5</v>
      </c>
      <c r="O3" s="11" t="s">
        <v>32</v>
      </c>
      <c r="P3" s="42" t="s">
        <v>36</v>
      </c>
      <c r="Q3" s="43"/>
      <c r="R3" s="43"/>
      <c r="S3" s="44"/>
      <c r="T3" s="12" t="s">
        <v>7</v>
      </c>
      <c r="U3" s="11" t="s">
        <v>32</v>
      </c>
      <c r="V3" s="42" t="s">
        <v>67</v>
      </c>
      <c r="W3" s="43"/>
      <c r="X3" s="43"/>
      <c r="Y3" s="44"/>
    </row>
    <row r="4" spans="2:25">
      <c r="H4" s="10"/>
      <c r="I4" s="13">
        <v>-2</v>
      </c>
      <c r="J4" s="45" t="s">
        <v>33</v>
      </c>
      <c r="K4" s="45"/>
      <c r="L4" s="45"/>
      <c r="M4" s="45"/>
      <c r="N4" s="12"/>
      <c r="O4" s="13">
        <v>-2</v>
      </c>
      <c r="P4" s="45" t="s">
        <v>59</v>
      </c>
      <c r="Q4" s="45"/>
      <c r="R4" s="45"/>
      <c r="S4" s="45"/>
      <c r="T4" s="12"/>
      <c r="U4" s="13">
        <v>-2</v>
      </c>
      <c r="V4" s="45"/>
      <c r="W4" s="45"/>
      <c r="X4" s="45"/>
      <c r="Y4" s="45"/>
    </row>
    <row r="5" spans="2:25">
      <c r="C5" s="14" t="s">
        <v>0</v>
      </c>
      <c r="D5" s="58" t="s">
        <v>1</v>
      </c>
      <c r="E5" s="59"/>
      <c r="F5" s="59"/>
      <c r="G5" s="60"/>
      <c r="H5" s="10"/>
      <c r="I5" s="13">
        <v>0</v>
      </c>
      <c r="J5" s="45" t="s">
        <v>34</v>
      </c>
      <c r="K5" s="45"/>
      <c r="L5" s="45"/>
      <c r="M5" s="45"/>
      <c r="N5" s="12"/>
      <c r="O5" s="13">
        <v>0</v>
      </c>
      <c r="P5" s="45" t="s">
        <v>57</v>
      </c>
      <c r="Q5" s="45"/>
      <c r="R5" s="45"/>
      <c r="S5" s="45"/>
      <c r="T5" s="12"/>
      <c r="U5" s="13">
        <v>0</v>
      </c>
      <c r="V5" s="45" t="s">
        <v>60</v>
      </c>
      <c r="W5" s="45"/>
      <c r="X5" s="45"/>
      <c r="Y5" s="45"/>
    </row>
    <row r="6" spans="2:25">
      <c r="C6" s="14" t="s">
        <v>2</v>
      </c>
      <c r="D6" s="61" t="s">
        <v>44</v>
      </c>
      <c r="E6" s="62"/>
      <c r="F6" s="62"/>
      <c r="G6" s="63"/>
      <c r="H6" s="10"/>
      <c r="I6" s="13">
        <v>2</v>
      </c>
      <c r="J6" s="45" t="s">
        <v>35</v>
      </c>
      <c r="K6" s="45"/>
      <c r="L6" s="45"/>
      <c r="M6" s="45"/>
      <c r="N6" s="12"/>
      <c r="O6" s="13">
        <v>2</v>
      </c>
      <c r="P6" s="45" t="s">
        <v>58</v>
      </c>
      <c r="Q6" s="45"/>
      <c r="R6" s="45"/>
      <c r="S6" s="45"/>
      <c r="T6" s="12"/>
      <c r="U6" s="13">
        <v>2</v>
      </c>
      <c r="V6" s="45"/>
      <c r="W6" s="45"/>
      <c r="X6" s="45"/>
      <c r="Y6" s="45"/>
    </row>
    <row r="7" spans="2:25">
      <c r="C7" s="14" t="s">
        <v>4</v>
      </c>
      <c r="D7" s="56" t="s">
        <v>63</v>
      </c>
      <c r="E7" s="56"/>
      <c r="F7" s="56"/>
      <c r="G7" s="56"/>
      <c r="H7" s="15"/>
    </row>
    <row r="8" spans="2:25">
      <c r="C8" s="14" t="s">
        <v>5</v>
      </c>
      <c r="D8" s="56" t="s">
        <v>6</v>
      </c>
      <c r="E8" s="56"/>
      <c r="F8" s="56"/>
      <c r="G8" s="56"/>
      <c r="H8" s="15"/>
      <c r="I8" s="69" t="s">
        <v>37</v>
      </c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1"/>
    </row>
    <row r="9" spans="2:25">
      <c r="C9" s="14" t="s">
        <v>7</v>
      </c>
      <c r="D9" s="56" t="s">
        <v>8</v>
      </c>
      <c r="E9" s="56"/>
      <c r="F9" s="56"/>
      <c r="G9" s="56"/>
      <c r="H9" s="12" t="s">
        <v>2</v>
      </c>
      <c r="I9" s="11" t="s">
        <v>32</v>
      </c>
      <c r="J9" s="42" t="s">
        <v>3</v>
      </c>
      <c r="K9" s="43"/>
      <c r="L9" s="43"/>
      <c r="M9" s="44"/>
      <c r="N9" s="10" t="s">
        <v>9</v>
      </c>
      <c r="O9" s="32" t="s">
        <v>32</v>
      </c>
      <c r="P9" s="42" t="s">
        <v>10</v>
      </c>
      <c r="Q9" s="43"/>
      <c r="R9" s="43"/>
      <c r="S9" s="44"/>
      <c r="T9" s="10" t="s">
        <v>11</v>
      </c>
      <c r="U9" s="32" t="s">
        <v>32</v>
      </c>
      <c r="V9" s="42" t="s">
        <v>12</v>
      </c>
      <c r="W9" s="43"/>
      <c r="X9" s="43"/>
      <c r="Y9" s="44"/>
    </row>
    <row r="10" spans="2:25">
      <c r="C10" s="14" t="s">
        <v>9</v>
      </c>
      <c r="D10" s="56" t="s">
        <v>10</v>
      </c>
      <c r="E10" s="56"/>
      <c r="F10" s="56"/>
      <c r="G10" s="56"/>
      <c r="I10" s="13">
        <v>-2</v>
      </c>
      <c r="J10" s="45" t="s">
        <v>38</v>
      </c>
      <c r="K10" s="45"/>
      <c r="L10" s="45"/>
      <c r="M10" s="45"/>
      <c r="N10" s="10"/>
      <c r="O10" s="13">
        <v>-2</v>
      </c>
      <c r="P10" s="45" t="s">
        <v>47</v>
      </c>
      <c r="Q10" s="45"/>
      <c r="R10" s="45"/>
      <c r="S10" s="45"/>
      <c r="T10" s="10"/>
      <c r="U10" s="13">
        <v>-2</v>
      </c>
      <c r="V10" s="45" t="s">
        <v>61</v>
      </c>
      <c r="W10" s="45"/>
      <c r="X10" s="45"/>
      <c r="Y10" s="45"/>
    </row>
    <row r="11" spans="2:25">
      <c r="B11" s="10"/>
      <c r="C11" s="14" t="s">
        <v>11</v>
      </c>
      <c r="D11" s="56" t="s">
        <v>12</v>
      </c>
      <c r="E11" s="56"/>
      <c r="F11" s="56"/>
      <c r="G11" s="56"/>
      <c r="I11" s="13">
        <v>0</v>
      </c>
      <c r="J11" s="45" t="s">
        <v>39</v>
      </c>
      <c r="K11" s="45"/>
      <c r="L11" s="45"/>
      <c r="M11" s="45"/>
      <c r="N11" s="10"/>
      <c r="O11" s="13">
        <v>0</v>
      </c>
      <c r="P11" s="45" t="s">
        <v>46</v>
      </c>
      <c r="Q11" s="45"/>
      <c r="R11" s="45"/>
      <c r="S11" s="45"/>
      <c r="T11" s="10"/>
      <c r="U11" s="13">
        <v>0</v>
      </c>
      <c r="V11" s="45"/>
      <c r="W11" s="45"/>
      <c r="X11" s="45"/>
      <c r="Y11" s="45"/>
    </row>
    <row r="12" spans="2:25">
      <c r="C12" s="14" t="s">
        <v>13</v>
      </c>
      <c r="D12" s="56" t="s">
        <v>16</v>
      </c>
      <c r="E12" s="56"/>
      <c r="F12" s="56"/>
      <c r="G12" s="56"/>
      <c r="I12" s="13">
        <v>2</v>
      </c>
      <c r="J12" s="45" t="s">
        <v>40</v>
      </c>
      <c r="K12" s="45"/>
      <c r="L12" s="45"/>
      <c r="M12" s="45"/>
      <c r="N12" s="10"/>
      <c r="O12" s="13">
        <v>2</v>
      </c>
      <c r="P12" s="45" t="s">
        <v>45</v>
      </c>
      <c r="Q12" s="45"/>
      <c r="R12" s="45"/>
      <c r="S12" s="45"/>
      <c r="T12" s="10"/>
      <c r="U12" s="13">
        <v>2</v>
      </c>
      <c r="V12" s="45" t="s">
        <v>62</v>
      </c>
      <c r="W12" s="45"/>
      <c r="X12" s="45"/>
      <c r="Y12" s="45"/>
    </row>
    <row r="13" spans="2:25">
      <c r="C13" s="14" t="s">
        <v>14</v>
      </c>
      <c r="D13" s="56" t="s">
        <v>17</v>
      </c>
      <c r="E13" s="56"/>
      <c r="F13" s="56"/>
      <c r="G13" s="56"/>
      <c r="T13" s="15"/>
      <c r="U13" s="15"/>
      <c r="V13" s="15"/>
      <c r="W13" s="15"/>
      <c r="X13" s="15"/>
      <c r="Y13" s="15"/>
    </row>
    <row r="14" spans="2:25">
      <c r="C14" s="14" t="s">
        <v>15</v>
      </c>
      <c r="D14" s="56" t="s">
        <v>18</v>
      </c>
      <c r="E14" s="56"/>
      <c r="F14" s="56"/>
      <c r="G14" s="56"/>
      <c r="H14" s="12" t="s">
        <v>13</v>
      </c>
      <c r="I14" s="33" t="s">
        <v>32</v>
      </c>
      <c r="J14" s="42" t="s">
        <v>16</v>
      </c>
      <c r="K14" s="43"/>
      <c r="L14" s="43"/>
      <c r="M14" s="44"/>
      <c r="N14" s="12" t="s">
        <v>14</v>
      </c>
      <c r="O14" s="33" t="s">
        <v>32</v>
      </c>
      <c r="P14" s="42" t="s">
        <v>17</v>
      </c>
      <c r="Q14" s="43"/>
      <c r="R14" s="43"/>
      <c r="S14" s="44"/>
      <c r="T14" s="10" t="s">
        <v>15</v>
      </c>
      <c r="U14" s="33" t="s">
        <v>32</v>
      </c>
      <c r="V14" s="42" t="s">
        <v>68</v>
      </c>
      <c r="W14" s="43"/>
      <c r="X14" s="43"/>
      <c r="Y14" s="44"/>
    </row>
    <row r="15" spans="2:25">
      <c r="H15" s="12"/>
      <c r="I15" s="13">
        <v>-2</v>
      </c>
      <c r="J15" s="45" t="s">
        <v>55</v>
      </c>
      <c r="K15" s="45"/>
      <c r="L15" s="45"/>
      <c r="M15" s="45"/>
      <c r="N15" s="16"/>
      <c r="O15" s="13">
        <v>-2</v>
      </c>
      <c r="P15" s="45" t="s">
        <v>52</v>
      </c>
      <c r="Q15" s="45"/>
      <c r="R15" s="45"/>
      <c r="S15" s="45"/>
      <c r="U15" s="17">
        <v>-2</v>
      </c>
      <c r="V15" s="56" t="s">
        <v>50</v>
      </c>
      <c r="W15" s="56"/>
      <c r="X15" s="56"/>
      <c r="Y15" s="56"/>
    </row>
    <row r="16" spans="2:25">
      <c r="F16" s="16"/>
      <c r="G16" s="16"/>
      <c r="H16" s="12"/>
      <c r="I16" s="13">
        <v>0</v>
      </c>
      <c r="J16" s="45" t="s">
        <v>54</v>
      </c>
      <c r="K16" s="45"/>
      <c r="L16" s="45"/>
      <c r="M16" s="45"/>
      <c r="N16" s="16"/>
      <c r="O16" s="13">
        <v>0</v>
      </c>
      <c r="P16" s="45" t="s">
        <v>51</v>
      </c>
      <c r="Q16" s="45"/>
      <c r="R16" s="45"/>
      <c r="S16" s="45"/>
      <c r="U16" s="17">
        <v>0</v>
      </c>
      <c r="V16" s="56" t="s">
        <v>49</v>
      </c>
      <c r="W16" s="56"/>
      <c r="X16" s="56"/>
      <c r="Y16" s="56"/>
    </row>
    <row r="17" spans="2:32">
      <c r="H17" s="12"/>
      <c r="I17" s="13">
        <v>2</v>
      </c>
      <c r="J17" s="45" t="s">
        <v>53</v>
      </c>
      <c r="K17" s="45"/>
      <c r="L17" s="45"/>
      <c r="M17" s="45"/>
      <c r="N17" s="16"/>
      <c r="O17" s="13">
        <v>2</v>
      </c>
      <c r="P17" s="45" t="s">
        <v>56</v>
      </c>
      <c r="Q17" s="45"/>
      <c r="R17" s="45"/>
      <c r="S17" s="45"/>
      <c r="U17" s="17">
        <v>2</v>
      </c>
      <c r="V17" s="56" t="s">
        <v>48</v>
      </c>
      <c r="W17" s="56"/>
      <c r="X17" s="56"/>
      <c r="Y17" s="56"/>
    </row>
    <row r="20" spans="2:32">
      <c r="B20" s="56" t="s">
        <v>20</v>
      </c>
      <c r="C20" s="56"/>
      <c r="D20" s="57" t="s">
        <v>21</v>
      </c>
      <c r="E20" s="57"/>
      <c r="F20" s="57"/>
      <c r="G20" s="57"/>
      <c r="H20" s="57"/>
      <c r="I20" s="57"/>
      <c r="J20" s="57"/>
      <c r="K20" s="57"/>
      <c r="L20" s="57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</row>
    <row r="21" spans="2:32">
      <c r="B21" s="56" t="s">
        <v>22</v>
      </c>
      <c r="C21" s="56"/>
      <c r="D21" s="18" t="s">
        <v>2</v>
      </c>
      <c r="E21" s="18" t="s">
        <v>4</v>
      </c>
      <c r="F21" s="18" t="s">
        <v>5</v>
      </c>
      <c r="G21" s="18" t="s">
        <v>7</v>
      </c>
      <c r="H21" s="18" t="s">
        <v>9</v>
      </c>
      <c r="I21" s="18" t="s">
        <v>11</v>
      </c>
      <c r="J21" s="18" t="s">
        <v>13</v>
      </c>
      <c r="K21" s="18" t="s">
        <v>14</v>
      </c>
      <c r="L21" s="17" t="s">
        <v>15</v>
      </c>
      <c r="T21" s="26"/>
      <c r="U21" s="26"/>
      <c r="V21" s="26"/>
      <c r="W21" s="26"/>
      <c r="X21" s="26"/>
      <c r="Y21" s="26"/>
      <c r="Z21" s="26"/>
      <c r="AA21" s="26"/>
      <c r="AB21" s="26"/>
      <c r="AC21" s="27" t="s">
        <v>19</v>
      </c>
      <c r="AD21" s="26"/>
      <c r="AE21" s="26"/>
      <c r="AF21" s="26"/>
    </row>
    <row r="22" spans="2:32">
      <c r="B22" s="64" t="s">
        <v>23</v>
      </c>
      <c r="C22" s="65"/>
      <c r="D22" s="8">
        <f t="shared" ref="D22:L22" si="0">AVERAGE(D24:D58)</f>
        <v>-1.375</v>
      </c>
      <c r="E22" s="8">
        <f t="shared" si="0"/>
        <v>1.625</v>
      </c>
      <c r="F22" s="8">
        <f t="shared" si="0"/>
        <v>0.375</v>
      </c>
      <c r="G22" s="8">
        <f t="shared" si="0"/>
        <v>-0.375</v>
      </c>
      <c r="H22" s="8">
        <f t="shared" si="0"/>
        <v>1.25</v>
      </c>
      <c r="I22" s="8">
        <f t="shared" si="0"/>
        <v>-1.375</v>
      </c>
      <c r="J22" s="8">
        <f t="shared" si="0"/>
        <v>-0.375</v>
      </c>
      <c r="K22" s="8">
        <f t="shared" si="0"/>
        <v>-0.375</v>
      </c>
      <c r="L22" s="8">
        <f t="shared" si="0"/>
        <v>1.625</v>
      </c>
      <c r="M22" s="53" t="s">
        <v>24</v>
      </c>
      <c r="N22" s="54"/>
      <c r="O22" s="54"/>
      <c r="P22" s="55"/>
      <c r="T22" s="26"/>
      <c r="U22" s="26"/>
      <c r="V22" s="26"/>
      <c r="W22" s="26"/>
      <c r="X22" s="26"/>
      <c r="Y22" s="26"/>
      <c r="Z22" s="26"/>
      <c r="AA22" s="26"/>
      <c r="AB22" s="28" t="s">
        <v>64</v>
      </c>
      <c r="AC22" s="9">
        <f>AVERAGE(AC24:AC58)</f>
        <v>0</v>
      </c>
      <c r="AD22" s="26"/>
      <c r="AE22" s="26"/>
      <c r="AF22" s="26"/>
    </row>
    <row r="23" spans="2:32">
      <c r="B23" s="64" t="s">
        <v>25</v>
      </c>
      <c r="C23" s="65"/>
      <c r="D23" s="19">
        <f t="shared" ref="D23:L23" si="1">STDEVP(D24:D58)</f>
        <v>0.48412291827592713</v>
      </c>
      <c r="E23" s="19">
        <f t="shared" si="1"/>
        <v>0.48412291827592713</v>
      </c>
      <c r="F23" s="19">
        <f t="shared" si="1"/>
        <v>0.48412291827592713</v>
      </c>
      <c r="G23" s="19">
        <f t="shared" si="1"/>
        <v>0.48412291827592713</v>
      </c>
      <c r="H23" s="19">
        <f t="shared" si="1"/>
        <v>0.96824583655185426</v>
      </c>
      <c r="I23" s="19">
        <f t="shared" si="1"/>
        <v>0.48412291827592713</v>
      </c>
      <c r="J23" s="19">
        <f t="shared" si="1"/>
        <v>0.48412291827592713</v>
      </c>
      <c r="K23" s="19">
        <f t="shared" si="1"/>
        <v>0.48412291827592713</v>
      </c>
      <c r="L23" s="19">
        <f t="shared" si="1"/>
        <v>0.48412291827592713</v>
      </c>
      <c r="M23" s="13" t="s">
        <v>27</v>
      </c>
      <c r="N23" s="13" t="s">
        <v>28</v>
      </c>
      <c r="O23" s="13" t="s">
        <v>29</v>
      </c>
      <c r="P23" s="20" t="s">
        <v>30</v>
      </c>
      <c r="T23" s="26"/>
      <c r="U23" s="26"/>
      <c r="V23" s="26"/>
      <c r="W23" s="26"/>
      <c r="X23" s="26"/>
      <c r="Y23" s="26"/>
      <c r="Z23" s="26"/>
      <c r="AA23" s="26"/>
      <c r="AB23" s="28" t="s">
        <v>65</v>
      </c>
      <c r="AC23" s="9">
        <f>STDEVP(AC24:AC58)</f>
        <v>7.0000000000000009</v>
      </c>
      <c r="AD23" s="29" t="s">
        <v>26</v>
      </c>
      <c r="AE23" s="26"/>
      <c r="AF23" s="26"/>
    </row>
    <row r="24" spans="2:32">
      <c r="B24" s="34" t="s">
        <v>41</v>
      </c>
      <c r="C24" s="21" t="s">
        <v>43</v>
      </c>
      <c r="D24" s="22">
        <v>-1</v>
      </c>
      <c r="E24" s="22">
        <v>2</v>
      </c>
      <c r="F24" s="22">
        <v>0</v>
      </c>
      <c r="G24" s="22">
        <v>0</v>
      </c>
      <c r="H24" s="22">
        <v>2</v>
      </c>
      <c r="I24" s="22">
        <v>-1</v>
      </c>
      <c r="J24" s="22">
        <v>0</v>
      </c>
      <c r="K24" s="22">
        <v>0</v>
      </c>
      <c r="L24" s="23">
        <v>2</v>
      </c>
      <c r="M24" s="22">
        <v>6</v>
      </c>
      <c r="N24" s="24">
        <f t="shared" ref="N24:N31" si="2">M24+2*$AC$23</f>
        <v>20</v>
      </c>
      <c r="O24" s="24">
        <f t="shared" ref="O24:O31" si="3">M24+5*$AC$23</f>
        <v>41.000000000000007</v>
      </c>
      <c r="P24" s="25">
        <f t="shared" ref="P24:P31" si="4">N24+AD24*$AC$23</f>
        <v>25.422176684690385</v>
      </c>
      <c r="T24" s="9">
        <f>IF(ISNUMBER(D24),(D24-D$22)/D$23,"")</f>
        <v>0.7745966692414834</v>
      </c>
      <c r="U24" s="9">
        <f t="shared" ref="U24:AB24" si="5">IF(ISNUMBER(E24),(E24-E$22)/E$23,"")</f>
        <v>0.7745966692414834</v>
      </c>
      <c r="V24" s="9">
        <f t="shared" si="5"/>
        <v>-0.7745966692414834</v>
      </c>
      <c r="W24" s="9">
        <f t="shared" si="5"/>
        <v>0.7745966692414834</v>
      </c>
      <c r="X24" s="9">
        <f t="shared" si="5"/>
        <v>0.7745966692414834</v>
      </c>
      <c r="Y24" s="9">
        <f t="shared" si="5"/>
        <v>0.7745966692414834</v>
      </c>
      <c r="Z24" s="9">
        <f t="shared" si="5"/>
        <v>0.7745966692414834</v>
      </c>
      <c r="AA24" s="9">
        <f t="shared" si="5"/>
        <v>0.7745966692414834</v>
      </c>
      <c r="AB24" s="9">
        <f t="shared" si="5"/>
        <v>0.7745966692414834</v>
      </c>
      <c r="AC24" s="9">
        <f>IF(ISNUMBER(T24),SUM(T24:AB24),"")</f>
        <v>5.4221766846903838</v>
      </c>
      <c r="AD24" s="30">
        <f>IF(ISNUMBER(T24),(AC24-$AC$22)/$AC$23,"")</f>
        <v>0.77459666924148329</v>
      </c>
      <c r="AE24" s="26"/>
      <c r="AF24" s="26"/>
    </row>
    <row r="25" spans="2:32">
      <c r="B25" s="35"/>
      <c r="C25" s="21" t="s">
        <v>43</v>
      </c>
      <c r="D25" s="22">
        <v>-1</v>
      </c>
      <c r="E25" s="22">
        <v>2</v>
      </c>
      <c r="F25" s="22">
        <v>0</v>
      </c>
      <c r="G25" s="22">
        <v>0</v>
      </c>
      <c r="H25" s="22">
        <v>2</v>
      </c>
      <c r="I25" s="22">
        <v>-1</v>
      </c>
      <c r="J25" s="22">
        <v>0</v>
      </c>
      <c r="K25" s="22">
        <v>0</v>
      </c>
      <c r="L25" s="23">
        <v>2</v>
      </c>
      <c r="M25" s="22">
        <v>6</v>
      </c>
      <c r="N25" s="24">
        <f t="shared" si="2"/>
        <v>20</v>
      </c>
      <c r="O25" s="24">
        <f t="shared" si="3"/>
        <v>41.000000000000007</v>
      </c>
      <c r="P25" s="25">
        <f t="shared" si="4"/>
        <v>25.422176684690385</v>
      </c>
      <c r="T25" s="9">
        <f t="shared" ref="T25:T58" si="6">IF(ISNUMBER(D25),(D25-D$22)/D$23,"")</f>
        <v>0.7745966692414834</v>
      </c>
      <c r="U25" s="9">
        <f t="shared" ref="U25:U58" si="7">IF(ISNUMBER(E25),(E25-E$22)/E$23,"")</f>
        <v>0.7745966692414834</v>
      </c>
      <c r="V25" s="9">
        <f t="shared" ref="V25:V58" si="8">IF(ISNUMBER(F25),(F25-F$22)/F$23,"")</f>
        <v>-0.7745966692414834</v>
      </c>
      <c r="W25" s="9">
        <f t="shared" ref="W25:W58" si="9">IF(ISNUMBER(G25),(G25-G$22)/G$23,"")</f>
        <v>0.7745966692414834</v>
      </c>
      <c r="X25" s="9">
        <f t="shared" ref="X25:X58" si="10">IF(ISNUMBER(H25),(H25-H$22)/H$23,"")</f>
        <v>0.7745966692414834</v>
      </c>
      <c r="Y25" s="9">
        <f t="shared" ref="Y25:Y58" si="11">IF(ISNUMBER(I25),(I25-I$22)/I$23,"")</f>
        <v>0.7745966692414834</v>
      </c>
      <c r="Z25" s="9">
        <f t="shared" ref="Z25:Z58" si="12">IF(ISNUMBER(J25),(J25-J$22)/J$23,"")</f>
        <v>0.7745966692414834</v>
      </c>
      <c r="AA25" s="9">
        <f t="shared" ref="AA25:AB32" si="13">IF(ISNUMBER(K25),(K25-K$22)/K$23,"")</f>
        <v>0.7745966692414834</v>
      </c>
      <c r="AB25" s="9">
        <f t="shared" si="13"/>
        <v>0.7745966692414834</v>
      </c>
      <c r="AC25" s="9">
        <f t="shared" ref="AC25:AC58" si="14">IF(ISNUMBER(T25),SUM(T25:AB25),"")</f>
        <v>5.4221766846903838</v>
      </c>
      <c r="AD25" s="30">
        <f t="shared" ref="AD25:AD58" si="15">IF(ISNUMBER(T25),(AC25-$AC$22)/$AC$23,"")</f>
        <v>0.77459666924148329</v>
      </c>
      <c r="AE25" s="26"/>
      <c r="AF25" s="26"/>
    </row>
    <row r="26" spans="2:32">
      <c r="B26" s="35"/>
      <c r="C26" s="21" t="s">
        <v>43</v>
      </c>
      <c r="D26" s="22">
        <v>-1</v>
      </c>
      <c r="E26" s="22">
        <v>2</v>
      </c>
      <c r="F26" s="22">
        <v>0</v>
      </c>
      <c r="G26" s="22">
        <v>0</v>
      </c>
      <c r="H26" s="22">
        <v>2</v>
      </c>
      <c r="I26" s="22">
        <v>-1</v>
      </c>
      <c r="J26" s="22">
        <v>0</v>
      </c>
      <c r="K26" s="22">
        <v>0</v>
      </c>
      <c r="L26" s="23">
        <v>2</v>
      </c>
      <c r="M26" s="22">
        <v>6</v>
      </c>
      <c r="N26" s="24">
        <f t="shared" si="2"/>
        <v>20</v>
      </c>
      <c r="O26" s="24">
        <f t="shared" si="3"/>
        <v>41.000000000000007</v>
      </c>
      <c r="P26" s="25">
        <f t="shared" si="4"/>
        <v>25.422176684690385</v>
      </c>
      <c r="T26" s="9">
        <f t="shared" si="6"/>
        <v>0.7745966692414834</v>
      </c>
      <c r="U26" s="9">
        <f t="shared" si="7"/>
        <v>0.7745966692414834</v>
      </c>
      <c r="V26" s="9">
        <f t="shared" si="8"/>
        <v>-0.7745966692414834</v>
      </c>
      <c r="W26" s="9">
        <f t="shared" si="9"/>
        <v>0.7745966692414834</v>
      </c>
      <c r="X26" s="9">
        <f t="shared" si="10"/>
        <v>0.7745966692414834</v>
      </c>
      <c r="Y26" s="9">
        <f t="shared" si="11"/>
        <v>0.7745966692414834</v>
      </c>
      <c r="Z26" s="9">
        <f t="shared" si="12"/>
        <v>0.7745966692414834</v>
      </c>
      <c r="AA26" s="9">
        <f t="shared" si="13"/>
        <v>0.7745966692414834</v>
      </c>
      <c r="AB26" s="9">
        <f t="shared" si="13"/>
        <v>0.7745966692414834</v>
      </c>
      <c r="AC26" s="9">
        <f t="shared" si="14"/>
        <v>5.4221766846903838</v>
      </c>
      <c r="AD26" s="30">
        <f t="shared" si="15"/>
        <v>0.77459666924148329</v>
      </c>
      <c r="AE26" s="26"/>
      <c r="AF26" s="26"/>
    </row>
    <row r="27" spans="2:32">
      <c r="B27" s="35"/>
      <c r="C27" s="21" t="s">
        <v>43</v>
      </c>
      <c r="D27" s="22">
        <v>-1</v>
      </c>
      <c r="E27" s="22">
        <v>2</v>
      </c>
      <c r="F27" s="22">
        <v>0</v>
      </c>
      <c r="G27" s="22">
        <v>0</v>
      </c>
      <c r="H27" s="22">
        <v>2</v>
      </c>
      <c r="I27" s="22">
        <v>-1</v>
      </c>
      <c r="J27" s="22">
        <v>0</v>
      </c>
      <c r="K27" s="22">
        <v>0</v>
      </c>
      <c r="L27" s="23">
        <v>2</v>
      </c>
      <c r="M27" s="22">
        <v>6</v>
      </c>
      <c r="N27" s="24">
        <f t="shared" si="2"/>
        <v>20</v>
      </c>
      <c r="O27" s="24">
        <f t="shared" si="3"/>
        <v>41.000000000000007</v>
      </c>
      <c r="P27" s="25">
        <f t="shared" si="4"/>
        <v>25.422176684690385</v>
      </c>
      <c r="T27" s="9">
        <f t="shared" si="6"/>
        <v>0.7745966692414834</v>
      </c>
      <c r="U27" s="9">
        <f t="shared" si="7"/>
        <v>0.7745966692414834</v>
      </c>
      <c r="V27" s="9">
        <f t="shared" si="8"/>
        <v>-0.7745966692414834</v>
      </c>
      <c r="W27" s="9">
        <f t="shared" si="9"/>
        <v>0.7745966692414834</v>
      </c>
      <c r="X27" s="9">
        <f t="shared" si="10"/>
        <v>0.7745966692414834</v>
      </c>
      <c r="Y27" s="9">
        <f t="shared" si="11"/>
        <v>0.7745966692414834</v>
      </c>
      <c r="Z27" s="9">
        <f t="shared" si="12"/>
        <v>0.7745966692414834</v>
      </c>
      <c r="AA27" s="9">
        <f t="shared" si="13"/>
        <v>0.7745966692414834</v>
      </c>
      <c r="AB27" s="9">
        <f t="shared" si="13"/>
        <v>0.7745966692414834</v>
      </c>
      <c r="AC27" s="9">
        <f t="shared" si="14"/>
        <v>5.4221766846903838</v>
      </c>
      <c r="AD27" s="30">
        <f t="shared" si="15"/>
        <v>0.77459666924148329</v>
      </c>
      <c r="AE27" s="26"/>
      <c r="AF27" s="26"/>
    </row>
    <row r="28" spans="2:32">
      <c r="B28" s="36"/>
      <c r="C28" s="21" t="s">
        <v>43</v>
      </c>
      <c r="D28" s="22">
        <v>-1</v>
      </c>
      <c r="E28" s="22">
        <v>2</v>
      </c>
      <c r="F28" s="22">
        <v>0</v>
      </c>
      <c r="G28" s="22">
        <v>0</v>
      </c>
      <c r="H28" s="22">
        <v>2</v>
      </c>
      <c r="I28" s="22">
        <v>-1</v>
      </c>
      <c r="J28" s="22">
        <v>0</v>
      </c>
      <c r="K28" s="22">
        <v>0</v>
      </c>
      <c r="L28" s="23">
        <v>2</v>
      </c>
      <c r="M28" s="22">
        <v>6</v>
      </c>
      <c r="N28" s="24">
        <f t="shared" si="2"/>
        <v>20</v>
      </c>
      <c r="O28" s="24">
        <f t="shared" si="3"/>
        <v>41.000000000000007</v>
      </c>
      <c r="P28" s="25">
        <f t="shared" si="4"/>
        <v>25.422176684690385</v>
      </c>
      <c r="T28" s="9">
        <f t="shared" si="6"/>
        <v>0.7745966692414834</v>
      </c>
      <c r="U28" s="9">
        <f t="shared" si="7"/>
        <v>0.7745966692414834</v>
      </c>
      <c r="V28" s="9">
        <f t="shared" si="8"/>
        <v>-0.7745966692414834</v>
      </c>
      <c r="W28" s="9">
        <f t="shared" si="9"/>
        <v>0.7745966692414834</v>
      </c>
      <c r="X28" s="9">
        <f t="shared" si="10"/>
        <v>0.7745966692414834</v>
      </c>
      <c r="Y28" s="9">
        <f t="shared" si="11"/>
        <v>0.7745966692414834</v>
      </c>
      <c r="Z28" s="9">
        <f t="shared" si="12"/>
        <v>0.7745966692414834</v>
      </c>
      <c r="AA28" s="9">
        <f t="shared" si="13"/>
        <v>0.7745966692414834</v>
      </c>
      <c r="AB28" s="9">
        <f t="shared" si="13"/>
        <v>0.7745966692414834</v>
      </c>
      <c r="AC28" s="9">
        <f t="shared" si="14"/>
        <v>5.4221766846903838</v>
      </c>
      <c r="AD28" s="30">
        <f t="shared" si="15"/>
        <v>0.77459666924148329</v>
      </c>
      <c r="AE28" s="26"/>
      <c r="AF28" s="26"/>
    </row>
    <row r="29" spans="2:32">
      <c r="B29" s="34" t="s">
        <v>42</v>
      </c>
      <c r="C29" s="21" t="s">
        <v>43</v>
      </c>
      <c r="D29" s="22">
        <v>-2</v>
      </c>
      <c r="E29" s="22">
        <v>1</v>
      </c>
      <c r="F29" s="22">
        <v>1</v>
      </c>
      <c r="G29" s="22">
        <v>-1</v>
      </c>
      <c r="H29" s="22">
        <v>0</v>
      </c>
      <c r="I29" s="22">
        <v>-2</v>
      </c>
      <c r="J29" s="22">
        <v>-1</v>
      </c>
      <c r="K29" s="22">
        <v>-1</v>
      </c>
      <c r="L29" s="23">
        <v>1</v>
      </c>
      <c r="M29" s="22">
        <v>12</v>
      </c>
      <c r="N29" s="24">
        <f t="shared" si="2"/>
        <v>26</v>
      </c>
      <c r="O29" s="24">
        <f t="shared" si="3"/>
        <v>47.000000000000007</v>
      </c>
      <c r="P29" s="25">
        <f t="shared" si="4"/>
        <v>16.963038858849359</v>
      </c>
      <c r="T29" s="9">
        <f t="shared" si="6"/>
        <v>-1.2909944487358056</v>
      </c>
      <c r="U29" s="9">
        <f t="shared" si="7"/>
        <v>-1.2909944487358056</v>
      </c>
      <c r="V29" s="9">
        <f t="shared" si="8"/>
        <v>1.2909944487358056</v>
      </c>
      <c r="W29" s="9">
        <f t="shared" si="9"/>
        <v>-1.2909944487358056</v>
      </c>
      <c r="X29" s="9">
        <f t="shared" si="10"/>
        <v>-1.2909944487358056</v>
      </c>
      <c r="Y29" s="9">
        <f t="shared" si="11"/>
        <v>-1.2909944487358056</v>
      </c>
      <c r="Z29" s="9">
        <f t="shared" si="12"/>
        <v>-1.2909944487358056</v>
      </c>
      <c r="AA29" s="9">
        <f t="shared" si="13"/>
        <v>-1.2909944487358056</v>
      </c>
      <c r="AB29" s="9">
        <f t="shared" si="13"/>
        <v>-1.2909944487358056</v>
      </c>
      <c r="AC29" s="9">
        <f t="shared" si="14"/>
        <v>-9.0369611411506394</v>
      </c>
      <c r="AD29" s="30">
        <f t="shared" si="15"/>
        <v>-1.2909944487358054</v>
      </c>
      <c r="AE29" s="26"/>
      <c r="AF29" s="26"/>
    </row>
    <row r="30" spans="2:32">
      <c r="B30" s="35"/>
      <c r="C30" s="21" t="s">
        <v>43</v>
      </c>
      <c r="D30" s="22">
        <v>-2</v>
      </c>
      <c r="E30" s="22">
        <v>1</v>
      </c>
      <c r="F30" s="22">
        <v>1</v>
      </c>
      <c r="G30" s="22">
        <v>-1</v>
      </c>
      <c r="H30" s="22">
        <v>0</v>
      </c>
      <c r="I30" s="22">
        <v>-2</v>
      </c>
      <c r="J30" s="22">
        <v>-1</v>
      </c>
      <c r="K30" s="22">
        <v>-1</v>
      </c>
      <c r="L30" s="23">
        <v>1</v>
      </c>
      <c r="M30" s="22">
        <v>12</v>
      </c>
      <c r="N30" s="24">
        <f t="shared" si="2"/>
        <v>26</v>
      </c>
      <c r="O30" s="24">
        <f t="shared" si="3"/>
        <v>47.000000000000007</v>
      </c>
      <c r="P30" s="25">
        <f t="shared" si="4"/>
        <v>16.963038858849359</v>
      </c>
      <c r="T30" s="9">
        <f t="shared" si="6"/>
        <v>-1.2909944487358056</v>
      </c>
      <c r="U30" s="9">
        <f t="shared" si="7"/>
        <v>-1.2909944487358056</v>
      </c>
      <c r="V30" s="9">
        <f t="shared" si="8"/>
        <v>1.2909944487358056</v>
      </c>
      <c r="W30" s="9">
        <f t="shared" si="9"/>
        <v>-1.2909944487358056</v>
      </c>
      <c r="X30" s="9">
        <f t="shared" si="10"/>
        <v>-1.2909944487358056</v>
      </c>
      <c r="Y30" s="9">
        <f t="shared" si="11"/>
        <v>-1.2909944487358056</v>
      </c>
      <c r="Z30" s="9">
        <f t="shared" si="12"/>
        <v>-1.2909944487358056</v>
      </c>
      <c r="AA30" s="9">
        <f t="shared" si="13"/>
        <v>-1.2909944487358056</v>
      </c>
      <c r="AB30" s="9">
        <f t="shared" si="13"/>
        <v>-1.2909944487358056</v>
      </c>
      <c r="AC30" s="9">
        <f t="shared" si="14"/>
        <v>-9.0369611411506394</v>
      </c>
      <c r="AD30" s="30">
        <f t="shared" si="15"/>
        <v>-1.2909944487358054</v>
      </c>
      <c r="AE30" s="26"/>
      <c r="AF30" s="26"/>
    </row>
    <row r="31" spans="2:32">
      <c r="B31" s="36"/>
      <c r="C31" s="21" t="s">
        <v>43</v>
      </c>
      <c r="D31" s="22">
        <v>-2</v>
      </c>
      <c r="E31" s="22">
        <v>1</v>
      </c>
      <c r="F31" s="22">
        <v>1</v>
      </c>
      <c r="G31" s="22">
        <v>-1</v>
      </c>
      <c r="H31" s="22">
        <v>0</v>
      </c>
      <c r="I31" s="22">
        <v>-2</v>
      </c>
      <c r="J31" s="22">
        <v>-1</v>
      </c>
      <c r="K31" s="22">
        <v>-1</v>
      </c>
      <c r="L31" s="23">
        <v>1</v>
      </c>
      <c r="M31" s="22">
        <v>12</v>
      </c>
      <c r="N31" s="24">
        <f t="shared" si="2"/>
        <v>26</v>
      </c>
      <c r="O31" s="24">
        <f t="shared" si="3"/>
        <v>47.000000000000007</v>
      </c>
      <c r="P31" s="25">
        <f t="shared" si="4"/>
        <v>16.963038858849359</v>
      </c>
      <c r="T31" s="9">
        <f t="shared" si="6"/>
        <v>-1.2909944487358056</v>
      </c>
      <c r="U31" s="9">
        <f t="shared" si="7"/>
        <v>-1.2909944487358056</v>
      </c>
      <c r="V31" s="9">
        <f t="shared" si="8"/>
        <v>1.2909944487358056</v>
      </c>
      <c r="W31" s="9">
        <f t="shared" si="9"/>
        <v>-1.2909944487358056</v>
      </c>
      <c r="X31" s="9">
        <f t="shared" si="10"/>
        <v>-1.2909944487358056</v>
      </c>
      <c r="Y31" s="9">
        <f t="shared" si="11"/>
        <v>-1.2909944487358056</v>
      </c>
      <c r="Z31" s="9">
        <f t="shared" si="12"/>
        <v>-1.2909944487358056</v>
      </c>
      <c r="AA31" s="9">
        <f t="shared" si="13"/>
        <v>-1.2909944487358056</v>
      </c>
      <c r="AB31" s="9">
        <f t="shared" si="13"/>
        <v>-1.2909944487358056</v>
      </c>
      <c r="AC31" s="9">
        <f t="shared" si="14"/>
        <v>-9.0369611411506394</v>
      </c>
      <c r="AD31" s="30">
        <f t="shared" si="15"/>
        <v>-1.2909944487358054</v>
      </c>
      <c r="AE31" s="26"/>
      <c r="AF31" s="26"/>
    </row>
    <row r="32" spans="2:32">
      <c r="B32" s="46"/>
      <c r="C32" s="21"/>
      <c r="D32" s="22"/>
      <c r="E32" s="22"/>
      <c r="F32" s="22"/>
      <c r="G32" s="22"/>
      <c r="H32" s="22"/>
      <c r="I32" s="22"/>
      <c r="J32" s="22"/>
      <c r="K32" s="22"/>
      <c r="L32" s="23"/>
      <c r="M32" s="22"/>
      <c r="N32" s="24"/>
      <c r="O32" s="24"/>
      <c r="P32" s="25"/>
      <c r="T32" s="9" t="str">
        <f t="shared" si="6"/>
        <v/>
      </c>
      <c r="U32" s="9" t="str">
        <f t="shared" si="7"/>
        <v/>
      </c>
      <c r="V32" s="9" t="str">
        <f t="shared" si="8"/>
        <v/>
      </c>
      <c r="W32" s="9" t="str">
        <f t="shared" si="9"/>
        <v/>
      </c>
      <c r="X32" s="9" t="str">
        <f t="shared" si="10"/>
        <v/>
      </c>
      <c r="Y32" s="9" t="str">
        <f t="shared" si="11"/>
        <v/>
      </c>
      <c r="Z32" s="9" t="str">
        <f t="shared" si="12"/>
        <v/>
      </c>
      <c r="AA32" s="9" t="str">
        <f t="shared" si="13"/>
        <v/>
      </c>
      <c r="AB32" s="9" t="str">
        <f t="shared" si="13"/>
        <v/>
      </c>
      <c r="AC32" s="9" t="str">
        <f t="shared" si="14"/>
        <v/>
      </c>
      <c r="AD32" s="30" t="str">
        <f t="shared" si="15"/>
        <v/>
      </c>
      <c r="AE32" s="26"/>
      <c r="AF32" s="26"/>
    </row>
    <row r="33" spans="2:32">
      <c r="B33" s="46"/>
      <c r="C33" s="21"/>
      <c r="D33" s="22"/>
      <c r="E33" s="22"/>
      <c r="F33" s="22"/>
      <c r="G33" s="22"/>
      <c r="H33" s="22"/>
      <c r="I33" s="22"/>
      <c r="J33" s="22"/>
      <c r="K33" s="22"/>
      <c r="L33" s="23"/>
      <c r="M33" s="22"/>
      <c r="N33" s="24"/>
      <c r="O33" s="24"/>
      <c r="P33" s="25"/>
      <c r="T33" s="9" t="str">
        <f t="shared" si="6"/>
        <v/>
      </c>
      <c r="U33" s="9" t="str">
        <f t="shared" si="7"/>
        <v/>
      </c>
      <c r="V33" s="9" t="str">
        <f t="shared" si="8"/>
        <v/>
      </c>
      <c r="W33" s="9" t="str">
        <f t="shared" si="9"/>
        <v/>
      </c>
      <c r="X33" s="9" t="str">
        <f t="shared" si="10"/>
        <v/>
      </c>
      <c r="Y33" s="9" t="str">
        <f t="shared" si="11"/>
        <v/>
      </c>
      <c r="Z33" s="9" t="str">
        <f t="shared" si="12"/>
        <v/>
      </c>
      <c r="AA33" s="9" t="str">
        <f t="shared" ref="AA33:AA58" si="16">IF(ISNUMBER(K33),(K33-K$22)/K$23,"")</f>
        <v/>
      </c>
      <c r="AB33" s="9" t="str">
        <f t="shared" ref="AB33:AB58" si="17">IF(ISNUMBER(L33),(L33-L$22)/L$23,"")</f>
        <v/>
      </c>
      <c r="AC33" s="9" t="str">
        <f t="shared" si="14"/>
        <v/>
      </c>
      <c r="AD33" s="30" t="str">
        <f t="shared" si="15"/>
        <v/>
      </c>
      <c r="AE33" s="26"/>
      <c r="AF33" s="26"/>
    </row>
    <row r="34" spans="2:32">
      <c r="B34" s="46"/>
      <c r="C34" s="21"/>
      <c r="D34" s="22"/>
      <c r="E34" s="22"/>
      <c r="F34" s="22"/>
      <c r="G34" s="22"/>
      <c r="H34" s="22"/>
      <c r="I34" s="22"/>
      <c r="J34" s="22"/>
      <c r="K34" s="22"/>
      <c r="L34" s="23"/>
      <c r="M34" s="22"/>
      <c r="N34" s="24"/>
      <c r="O34" s="24"/>
      <c r="P34" s="25"/>
      <c r="T34" s="9" t="str">
        <f t="shared" si="6"/>
        <v/>
      </c>
      <c r="U34" s="9" t="str">
        <f t="shared" si="7"/>
        <v/>
      </c>
      <c r="V34" s="9" t="str">
        <f t="shared" si="8"/>
        <v/>
      </c>
      <c r="W34" s="9" t="str">
        <f t="shared" si="9"/>
        <v/>
      </c>
      <c r="X34" s="9" t="str">
        <f t="shared" si="10"/>
        <v/>
      </c>
      <c r="Y34" s="9" t="str">
        <f t="shared" si="11"/>
        <v/>
      </c>
      <c r="Z34" s="9" t="str">
        <f t="shared" si="12"/>
        <v/>
      </c>
      <c r="AA34" s="9" t="str">
        <f t="shared" si="16"/>
        <v/>
      </c>
      <c r="AB34" s="9" t="str">
        <f t="shared" si="17"/>
        <v/>
      </c>
      <c r="AC34" s="9" t="str">
        <f t="shared" si="14"/>
        <v/>
      </c>
      <c r="AD34" s="30" t="str">
        <f t="shared" si="15"/>
        <v/>
      </c>
      <c r="AE34" s="26"/>
      <c r="AF34" s="26"/>
    </row>
    <row r="35" spans="2:32">
      <c r="B35" s="46"/>
      <c r="C35" s="21"/>
      <c r="D35" s="22"/>
      <c r="E35" s="22"/>
      <c r="F35" s="22"/>
      <c r="G35" s="22"/>
      <c r="H35" s="22"/>
      <c r="I35" s="22"/>
      <c r="J35" s="22"/>
      <c r="K35" s="22"/>
      <c r="L35" s="23"/>
      <c r="M35" s="22"/>
      <c r="N35" s="24"/>
      <c r="O35" s="24"/>
      <c r="P35" s="25"/>
      <c r="T35" s="9" t="str">
        <f t="shared" si="6"/>
        <v/>
      </c>
      <c r="U35" s="9" t="str">
        <f t="shared" si="7"/>
        <v/>
      </c>
      <c r="V35" s="9" t="str">
        <f t="shared" si="8"/>
        <v/>
      </c>
      <c r="W35" s="9" t="str">
        <f t="shared" si="9"/>
        <v/>
      </c>
      <c r="X35" s="9" t="str">
        <f t="shared" si="10"/>
        <v/>
      </c>
      <c r="Y35" s="9" t="str">
        <f t="shared" si="11"/>
        <v/>
      </c>
      <c r="Z35" s="9" t="str">
        <f t="shared" si="12"/>
        <v/>
      </c>
      <c r="AA35" s="9" t="str">
        <f t="shared" si="16"/>
        <v/>
      </c>
      <c r="AB35" s="9" t="str">
        <f t="shared" si="17"/>
        <v/>
      </c>
      <c r="AC35" s="9" t="str">
        <f t="shared" si="14"/>
        <v/>
      </c>
      <c r="AD35" s="30" t="str">
        <f t="shared" si="15"/>
        <v/>
      </c>
      <c r="AE35" s="26"/>
      <c r="AF35" s="26"/>
    </row>
    <row r="36" spans="2:32">
      <c r="B36" s="46"/>
      <c r="C36" s="21"/>
      <c r="D36" s="22"/>
      <c r="E36" s="22"/>
      <c r="F36" s="22"/>
      <c r="G36" s="22"/>
      <c r="H36" s="22"/>
      <c r="I36" s="22"/>
      <c r="J36" s="22"/>
      <c r="K36" s="22"/>
      <c r="L36" s="23"/>
      <c r="M36" s="22"/>
      <c r="N36" s="24"/>
      <c r="O36" s="24"/>
      <c r="P36" s="25"/>
      <c r="T36" s="9" t="str">
        <f t="shared" si="6"/>
        <v/>
      </c>
      <c r="U36" s="9" t="str">
        <f t="shared" si="7"/>
        <v/>
      </c>
      <c r="V36" s="9" t="str">
        <f t="shared" si="8"/>
        <v/>
      </c>
      <c r="W36" s="9" t="str">
        <f t="shared" si="9"/>
        <v/>
      </c>
      <c r="X36" s="9" t="str">
        <f t="shared" si="10"/>
        <v/>
      </c>
      <c r="Y36" s="9" t="str">
        <f t="shared" si="11"/>
        <v/>
      </c>
      <c r="Z36" s="9" t="str">
        <f t="shared" si="12"/>
        <v/>
      </c>
      <c r="AA36" s="9" t="str">
        <f t="shared" si="16"/>
        <v/>
      </c>
      <c r="AB36" s="9" t="str">
        <f t="shared" si="17"/>
        <v/>
      </c>
      <c r="AC36" s="9" t="str">
        <f t="shared" si="14"/>
        <v/>
      </c>
      <c r="AD36" s="30" t="str">
        <f t="shared" si="15"/>
        <v/>
      </c>
      <c r="AE36" s="26"/>
      <c r="AF36" s="26"/>
    </row>
    <row r="37" spans="2:32">
      <c r="B37" s="50"/>
      <c r="C37" s="21"/>
      <c r="D37" s="22"/>
      <c r="E37" s="22"/>
      <c r="F37" s="22"/>
      <c r="G37" s="22"/>
      <c r="H37" s="22"/>
      <c r="I37" s="22"/>
      <c r="J37" s="22"/>
      <c r="K37" s="22"/>
      <c r="L37" s="23"/>
      <c r="M37" s="22"/>
      <c r="N37" s="24"/>
      <c r="O37" s="24"/>
      <c r="P37" s="25"/>
      <c r="T37" s="9" t="str">
        <f t="shared" si="6"/>
        <v/>
      </c>
      <c r="U37" s="9" t="str">
        <f t="shared" si="7"/>
        <v/>
      </c>
      <c r="V37" s="9" t="str">
        <f t="shared" si="8"/>
        <v/>
      </c>
      <c r="W37" s="9" t="str">
        <f t="shared" si="9"/>
        <v/>
      </c>
      <c r="X37" s="9" t="str">
        <f t="shared" si="10"/>
        <v/>
      </c>
      <c r="Y37" s="9" t="str">
        <f t="shared" si="11"/>
        <v/>
      </c>
      <c r="Z37" s="9" t="str">
        <f t="shared" si="12"/>
        <v/>
      </c>
      <c r="AA37" s="9" t="str">
        <f t="shared" si="16"/>
        <v/>
      </c>
      <c r="AB37" s="9" t="str">
        <f t="shared" si="17"/>
        <v/>
      </c>
      <c r="AC37" s="9" t="str">
        <f t="shared" si="14"/>
        <v/>
      </c>
      <c r="AD37" s="30" t="str">
        <f t="shared" si="15"/>
        <v/>
      </c>
      <c r="AE37" s="26"/>
      <c r="AF37" s="26"/>
    </row>
    <row r="38" spans="2:32">
      <c r="B38" s="51"/>
      <c r="C38" s="21"/>
      <c r="D38" s="22"/>
      <c r="E38" s="22"/>
      <c r="F38" s="22"/>
      <c r="G38" s="22"/>
      <c r="H38" s="22"/>
      <c r="I38" s="22"/>
      <c r="J38" s="22"/>
      <c r="K38" s="22"/>
      <c r="L38" s="23"/>
      <c r="M38" s="22"/>
      <c r="N38" s="24"/>
      <c r="O38" s="24"/>
      <c r="P38" s="25"/>
      <c r="T38" s="9" t="str">
        <f t="shared" si="6"/>
        <v/>
      </c>
      <c r="U38" s="9" t="str">
        <f t="shared" si="7"/>
        <v/>
      </c>
      <c r="V38" s="9" t="str">
        <f t="shared" si="8"/>
        <v/>
      </c>
      <c r="W38" s="9" t="str">
        <f t="shared" si="9"/>
        <v/>
      </c>
      <c r="X38" s="9" t="str">
        <f t="shared" si="10"/>
        <v/>
      </c>
      <c r="Y38" s="9" t="str">
        <f t="shared" si="11"/>
        <v/>
      </c>
      <c r="Z38" s="9" t="str">
        <f t="shared" si="12"/>
        <v/>
      </c>
      <c r="AA38" s="9" t="str">
        <f t="shared" si="16"/>
        <v/>
      </c>
      <c r="AB38" s="9" t="str">
        <f t="shared" si="17"/>
        <v/>
      </c>
      <c r="AC38" s="9" t="str">
        <f t="shared" si="14"/>
        <v/>
      </c>
      <c r="AD38" s="30" t="str">
        <f t="shared" si="15"/>
        <v/>
      </c>
      <c r="AE38" s="26"/>
      <c r="AF38" s="26"/>
    </row>
    <row r="39" spans="2:32">
      <c r="B39" s="52"/>
      <c r="C39" s="21"/>
      <c r="D39" s="22"/>
      <c r="E39" s="22"/>
      <c r="F39" s="22"/>
      <c r="G39" s="22"/>
      <c r="H39" s="22"/>
      <c r="I39" s="22"/>
      <c r="J39" s="22"/>
      <c r="K39" s="22"/>
      <c r="L39" s="23"/>
      <c r="M39" s="22"/>
      <c r="N39" s="24"/>
      <c r="O39" s="24"/>
      <c r="P39" s="25"/>
      <c r="T39" s="9" t="str">
        <f t="shared" si="6"/>
        <v/>
      </c>
      <c r="U39" s="9" t="str">
        <f t="shared" si="7"/>
        <v/>
      </c>
      <c r="V39" s="9" t="str">
        <f t="shared" si="8"/>
        <v/>
      </c>
      <c r="W39" s="9" t="str">
        <f t="shared" si="9"/>
        <v/>
      </c>
      <c r="X39" s="9" t="str">
        <f t="shared" si="10"/>
        <v/>
      </c>
      <c r="Y39" s="9" t="str">
        <f t="shared" si="11"/>
        <v/>
      </c>
      <c r="Z39" s="9" t="str">
        <f t="shared" si="12"/>
        <v/>
      </c>
      <c r="AA39" s="9" t="str">
        <f t="shared" si="16"/>
        <v/>
      </c>
      <c r="AB39" s="9" t="str">
        <f t="shared" si="17"/>
        <v/>
      </c>
      <c r="AC39" s="9" t="str">
        <f t="shared" si="14"/>
        <v/>
      </c>
      <c r="AD39" s="30" t="str">
        <f t="shared" si="15"/>
        <v/>
      </c>
      <c r="AE39" s="26"/>
      <c r="AF39" s="26"/>
    </row>
    <row r="40" spans="2:32">
      <c r="B40" s="50"/>
      <c r="C40" s="21"/>
      <c r="D40" s="22"/>
      <c r="E40" s="22"/>
      <c r="F40" s="22"/>
      <c r="G40" s="22"/>
      <c r="H40" s="22"/>
      <c r="I40" s="22"/>
      <c r="J40" s="22"/>
      <c r="K40" s="22"/>
      <c r="L40" s="23"/>
      <c r="M40" s="22"/>
      <c r="N40" s="24"/>
      <c r="O40" s="24"/>
      <c r="P40" s="25"/>
      <c r="T40" s="9" t="str">
        <f t="shared" si="6"/>
        <v/>
      </c>
      <c r="U40" s="9" t="str">
        <f t="shared" si="7"/>
        <v/>
      </c>
      <c r="V40" s="9" t="str">
        <f t="shared" si="8"/>
        <v/>
      </c>
      <c r="W40" s="9" t="str">
        <f t="shared" si="9"/>
        <v/>
      </c>
      <c r="X40" s="9" t="str">
        <f t="shared" si="10"/>
        <v/>
      </c>
      <c r="Y40" s="9" t="str">
        <f t="shared" si="11"/>
        <v/>
      </c>
      <c r="Z40" s="9" t="str">
        <f t="shared" si="12"/>
        <v/>
      </c>
      <c r="AA40" s="9" t="str">
        <f t="shared" si="16"/>
        <v/>
      </c>
      <c r="AB40" s="9" t="str">
        <f t="shared" si="17"/>
        <v/>
      </c>
      <c r="AC40" s="9" t="str">
        <f t="shared" si="14"/>
        <v/>
      </c>
      <c r="AD40" s="30" t="str">
        <f t="shared" si="15"/>
        <v/>
      </c>
      <c r="AE40" s="26"/>
      <c r="AF40" s="26"/>
    </row>
    <row r="41" spans="2:32">
      <c r="B41" s="51"/>
      <c r="C41" s="21"/>
      <c r="D41" s="22"/>
      <c r="E41" s="22"/>
      <c r="F41" s="22"/>
      <c r="G41" s="22"/>
      <c r="H41" s="22"/>
      <c r="I41" s="22"/>
      <c r="J41" s="22"/>
      <c r="K41" s="22"/>
      <c r="L41" s="23"/>
      <c r="M41" s="22"/>
      <c r="N41" s="24"/>
      <c r="O41" s="24"/>
      <c r="P41" s="25"/>
      <c r="T41" s="9" t="str">
        <f t="shared" si="6"/>
        <v/>
      </c>
      <c r="U41" s="9" t="str">
        <f t="shared" si="7"/>
        <v/>
      </c>
      <c r="V41" s="9" t="str">
        <f t="shared" si="8"/>
        <v/>
      </c>
      <c r="W41" s="9" t="str">
        <f t="shared" si="9"/>
        <v/>
      </c>
      <c r="X41" s="9" t="str">
        <f t="shared" si="10"/>
        <v/>
      </c>
      <c r="Y41" s="9" t="str">
        <f t="shared" si="11"/>
        <v/>
      </c>
      <c r="Z41" s="9" t="str">
        <f t="shared" si="12"/>
        <v/>
      </c>
      <c r="AA41" s="9" t="str">
        <f t="shared" si="16"/>
        <v/>
      </c>
      <c r="AB41" s="9" t="str">
        <f t="shared" si="17"/>
        <v/>
      </c>
      <c r="AC41" s="9" t="str">
        <f t="shared" si="14"/>
        <v/>
      </c>
      <c r="AD41" s="30" t="str">
        <f t="shared" si="15"/>
        <v/>
      </c>
      <c r="AE41" s="26"/>
      <c r="AF41" s="26"/>
    </row>
    <row r="42" spans="2:32">
      <c r="B42" s="52"/>
      <c r="C42" s="21"/>
      <c r="D42" s="22"/>
      <c r="E42" s="22"/>
      <c r="F42" s="22"/>
      <c r="G42" s="22"/>
      <c r="H42" s="22"/>
      <c r="I42" s="22"/>
      <c r="J42" s="22"/>
      <c r="K42" s="22"/>
      <c r="L42" s="23"/>
      <c r="M42" s="22"/>
      <c r="N42" s="24"/>
      <c r="O42" s="24"/>
      <c r="P42" s="25"/>
      <c r="T42" s="9" t="str">
        <f t="shared" si="6"/>
        <v/>
      </c>
      <c r="U42" s="9" t="str">
        <f t="shared" si="7"/>
        <v/>
      </c>
      <c r="V42" s="9" t="str">
        <f t="shared" si="8"/>
        <v/>
      </c>
      <c r="W42" s="9" t="str">
        <f t="shared" si="9"/>
        <v/>
      </c>
      <c r="X42" s="9" t="str">
        <f t="shared" si="10"/>
        <v/>
      </c>
      <c r="Y42" s="9" t="str">
        <f t="shared" si="11"/>
        <v/>
      </c>
      <c r="Z42" s="9" t="str">
        <f t="shared" si="12"/>
        <v/>
      </c>
      <c r="AA42" s="9" t="str">
        <f t="shared" si="16"/>
        <v/>
      </c>
      <c r="AB42" s="9" t="str">
        <f t="shared" si="17"/>
        <v/>
      </c>
      <c r="AC42" s="9" t="str">
        <f t="shared" si="14"/>
        <v/>
      </c>
      <c r="AD42" s="30" t="str">
        <f t="shared" si="15"/>
        <v/>
      </c>
      <c r="AE42" s="26"/>
      <c r="AF42" s="26"/>
    </row>
    <row r="43" spans="2:32">
      <c r="B43" s="46"/>
      <c r="C43" s="21"/>
      <c r="D43" s="22"/>
      <c r="E43" s="22"/>
      <c r="F43" s="22"/>
      <c r="G43" s="22"/>
      <c r="H43" s="22"/>
      <c r="I43" s="22"/>
      <c r="J43" s="22"/>
      <c r="K43" s="22"/>
      <c r="L43" s="23"/>
      <c r="M43" s="22"/>
      <c r="N43" s="24"/>
      <c r="O43" s="24"/>
      <c r="P43" s="25"/>
      <c r="T43" s="9" t="str">
        <f t="shared" si="6"/>
        <v/>
      </c>
      <c r="U43" s="9" t="str">
        <f t="shared" si="7"/>
        <v/>
      </c>
      <c r="V43" s="9" t="str">
        <f t="shared" si="8"/>
        <v/>
      </c>
      <c r="W43" s="9" t="str">
        <f t="shared" si="9"/>
        <v/>
      </c>
      <c r="X43" s="9" t="str">
        <f t="shared" si="10"/>
        <v/>
      </c>
      <c r="Y43" s="9" t="str">
        <f t="shared" si="11"/>
        <v/>
      </c>
      <c r="Z43" s="9" t="str">
        <f t="shared" si="12"/>
        <v/>
      </c>
      <c r="AA43" s="9" t="str">
        <f t="shared" si="16"/>
        <v/>
      </c>
      <c r="AB43" s="9" t="str">
        <f t="shared" si="17"/>
        <v/>
      </c>
      <c r="AC43" s="9" t="str">
        <f t="shared" si="14"/>
        <v/>
      </c>
      <c r="AD43" s="30" t="str">
        <f t="shared" si="15"/>
        <v/>
      </c>
      <c r="AE43" s="26"/>
      <c r="AF43" s="26"/>
    </row>
    <row r="44" spans="2:32">
      <c r="B44" s="46"/>
      <c r="C44" s="21"/>
      <c r="D44" s="22"/>
      <c r="E44" s="22"/>
      <c r="F44" s="22"/>
      <c r="G44" s="22"/>
      <c r="H44" s="22"/>
      <c r="I44" s="22"/>
      <c r="J44" s="22"/>
      <c r="K44" s="22"/>
      <c r="L44" s="23"/>
      <c r="M44" s="22"/>
      <c r="N44" s="24"/>
      <c r="O44" s="24"/>
      <c r="P44" s="25"/>
      <c r="T44" s="9" t="str">
        <f t="shared" si="6"/>
        <v/>
      </c>
      <c r="U44" s="9" t="str">
        <f t="shared" si="7"/>
        <v/>
      </c>
      <c r="V44" s="9" t="str">
        <f t="shared" si="8"/>
        <v/>
      </c>
      <c r="W44" s="9" t="str">
        <f t="shared" si="9"/>
        <v/>
      </c>
      <c r="X44" s="9" t="str">
        <f t="shared" si="10"/>
        <v/>
      </c>
      <c r="Y44" s="9" t="str">
        <f t="shared" si="11"/>
        <v/>
      </c>
      <c r="Z44" s="9" t="str">
        <f t="shared" si="12"/>
        <v/>
      </c>
      <c r="AA44" s="9" t="str">
        <f t="shared" si="16"/>
        <v/>
      </c>
      <c r="AB44" s="9" t="str">
        <f t="shared" si="17"/>
        <v/>
      </c>
      <c r="AC44" s="9" t="str">
        <f t="shared" si="14"/>
        <v/>
      </c>
      <c r="AD44" s="30" t="str">
        <f t="shared" si="15"/>
        <v/>
      </c>
      <c r="AE44" s="26"/>
      <c r="AF44" s="26"/>
    </row>
    <row r="45" spans="2:32">
      <c r="B45" s="46"/>
      <c r="C45" s="21"/>
      <c r="D45" s="22"/>
      <c r="E45" s="22"/>
      <c r="F45" s="22"/>
      <c r="G45" s="22"/>
      <c r="H45" s="22"/>
      <c r="I45" s="22"/>
      <c r="J45" s="22"/>
      <c r="K45" s="22"/>
      <c r="L45" s="23"/>
      <c r="M45" s="22"/>
      <c r="N45" s="24"/>
      <c r="O45" s="24"/>
      <c r="P45" s="25"/>
      <c r="T45" s="9" t="str">
        <f t="shared" si="6"/>
        <v/>
      </c>
      <c r="U45" s="9" t="str">
        <f t="shared" si="7"/>
        <v/>
      </c>
      <c r="V45" s="9" t="str">
        <f t="shared" si="8"/>
        <v/>
      </c>
      <c r="W45" s="9" t="str">
        <f t="shared" si="9"/>
        <v/>
      </c>
      <c r="X45" s="9" t="str">
        <f t="shared" si="10"/>
        <v/>
      </c>
      <c r="Y45" s="9" t="str">
        <f t="shared" si="11"/>
        <v/>
      </c>
      <c r="Z45" s="9" t="str">
        <f t="shared" si="12"/>
        <v/>
      </c>
      <c r="AA45" s="9" t="str">
        <f t="shared" si="16"/>
        <v/>
      </c>
      <c r="AB45" s="9" t="str">
        <f t="shared" si="17"/>
        <v/>
      </c>
      <c r="AC45" s="9" t="str">
        <f t="shared" si="14"/>
        <v/>
      </c>
      <c r="AD45" s="30" t="str">
        <f t="shared" si="15"/>
        <v/>
      </c>
      <c r="AE45" s="26"/>
      <c r="AF45" s="26"/>
    </row>
    <row r="46" spans="2:32">
      <c r="B46" s="46"/>
      <c r="C46" s="21"/>
      <c r="D46" s="22"/>
      <c r="E46" s="22"/>
      <c r="F46" s="22"/>
      <c r="G46" s="22"/>
      <c r="H46" s="22"/>
      <c r="I46" s="22"/>
      <c r="J46" s="22"/>
      <c r="K46" s="22"/>
      <c r="L46" s="23"/>
      <c r="M46" s="22"/>
      <c r="N46" s="24"/>
      <c r="O46" s="24"/>
      <c r="P46" s="25"/>
      <c r="T46" s="9" t="str">
        <f t="shared" si="6"/>
        <v/>
      </c>
      <c r="U46" s="9" t="str">
        <f t="shared" si="7"/>
        <v/>
      </c>
      <c r="V46" s="9" t="str">
        <f t="shared" si="8"/>
        <v/>
      </c>
      <c r="W46" s="9" t="str">
        <f t="shared" si="9"/>
        <v/>
      </c>
      <c r="X46" s="9" t="str">
        <f t="shared" si="10"/>
        <v/>
      </c>
      <c r="Y46" s="9" t="str">
        <f t="shared" si="11"/>
        <v/>
      </c>
      <c r="Z46" s="9" t="str">
        <f t="shared" si="12"/>
        <v/>
      </c>
      <c r="AA46" s="9" t="str">
        <f t="shared" si="16"/>
        <v/>
      </c>
      <c r="AB46" s="9" t="str">
        <f t="shared" si="17"/>
        <v/>
      </c>
      <c r="AC46" s="9" t="str">
        <f t="shared" si="14"/>
        <v/>
      </c>
      <c r="AD46" s="30" t="str">
        <f t="shared" si="15"/>
        <v/>
      </c>
      <c r="AE46" s="26"/>
      <c r="AF46" s="26"/>
    </row>
    <row r="47" spans="2:32">
      <c r="B47" s="46"/>
      <c r="C47" s="21"/>
      <c r="D47" s="22"/>
      <c r="E47" s="22"/>
      <c r="F47" s="22"/>
      <c r="G47" s="22"/>
      <c r="H47" s="22"/>
      <c r="I47" s="22"/>
      <c r="J47" s="22"/>
      <c r="K47" s="22"/>
      <c r="L47" s="23"/>
      <c r="M47" s="22"/>
      <c r="N47" s="24"/>
      <c r="O47" s="24"/>
      <c r="P47" s="25"/>
      <c r="T47" s="9" t="str">
        <f t="shared" si="6"/>
        <v/>
      </c>
      <c r="U47" s="9" t="str">
        <f t="shared" si="7"/>
        <v/>
      </c>
      <c r="V47" s="9" t="str">
        <f t="shared" si="8"/>
        <v/>
      </c>
      <c r="W47" s="9" t="str">
        <f t="shared" si="9"/>
        <v/>
      </c>
      <c r="X47" s="9" t="str">
        <f t="shared" si="10"/>
        <v/>
      </c>
      <c r="Y47" s="9" t="str">
        <f t="shared" si="11"/>
        <v/>
      </c>
      <c r="Z47" s="9" t="str">
        <f t="shared" si="12"/>
        <v/>
      </c>
      <c r="AA47" s="9" t="str">
        <f t="shared" si="16"/>
        <v/>
      </c>
      <c r="AB47" s="9" t="str">
        <f t="shared" si="17"/>
        <v/>
      </c>
      <c r="AC47" s="9" t="str">
        <f t="shared" si="14"/>
        <v/>
      </c>
      <c r="AD47" s="30" t="str">
        <f t="shared" si="15"/>
        <v/>
      </c>
      <c r="AE47" s="26"/>
      <c r="AF47" s="26"/>
    </row>
    <row r="48" spans="2:32">
      <c r="B48" s="50"/>
      <c r="C48" s="21"/>
      <c r="D48" s="22"/>
      <c r="E48" s="22"/>
      <c r="F48" s="22"/>
      <c r="G48" s="22"/>
      <c r="H48" s="22"/>
      <c r="I48" s="22"/>
      <c r="J48" s="22"/>
      <c r="K48" s="22"/>
      <c r="L48" s="23"/>
      <c r="M48" s="22"/>
      <c r="N48" s="24"/>
      <c r="O48" s="24"/>
      <c r="P48" s="25"/>
      <c r="T48" s="9" t="str">
        <f t="shared" si="6"/>
        <v/>
      </c>
      <c r="U48" s="9" t="str">
        <f t="shared" si="7"/>
        <v/>
      </c>
      <c r="V48" s="9" t="str">
        <f t="shared" si="8"/>
        <v/>
      </c>
      <c r="W48" s="9" t="str">
        <f t="shared" si="9"/>
        <v/>
      </c>
      <c r="X48" s="9" t="str">
        <f t="shared" si="10"/>
        <v/>
      </c>
      <c r="Y48" s="9" t="str">
        <f t="shared" si="11"/>
        <v/>
      </c>
      <c r="Z48" s="9" t="str">
        <f t="shared" si="12"/>
        <v/>
      </c>
      <c r="AA48" s="9" t="str">
        <f t="shared" si="16"/>
        <v/>
      </c>
      <c r="AB48" s="9" t="str">
        <f t="shared" si="17"/>
        <v/>
      </c>
      <c r="AC48" s="9" t="str">
        <f t="shared" si="14"/>
        <v/>
      </c>
      <c r="AD48" s="30" t="str">
        <f t="shared" si="15"/>
        <v/>
      </c>
      <c r="AE48" s="26"/>
      <c r="AF48" s="26"/>
    </row>
    <row r="49" spans="2:32">
      <c r="B49" s="51"/>
      <c r="C49" s="21"/>
      <c r="D49" s="22"/>
      <c r="E49" s="22"/>
      <c r="F49" s="22"/>
      <c r="G49" s="22"/>
      <c r="H49" s="22"/>
      <c r="I49" s="22"/>
      <c r="J49" s="22"/>
      <c r="K49" s="22"/>
      <c r="L49" s="23"/>
      <c r="M49" s="22"/>
      <c r="N49" s="24"/>
      <c r="O49" s="24"/>
      <c r="P49" s="25"/>
      <c r="T49" s="9" t="str">
        <f t="shared" si="6"/>
        <v/>
      </c>
      <c r="U49" s="9" t="str">
        <f t="shared" si="7"/>
        <v/>
      </c>
      <c r="V49" s="9" t="str">
        <f t="shared" si="8"/>
        <v/>
      </c>
      <c r="W49" s="9" t="str">
        <f t="shared" si="9"/>
        <v/>
      </c>
      <c r="X49" s="9" t="str">
        <f t="shared" si="10"/>
        <v/>
      </c>
      <c r="Y49" s="9" t="str">
        <f t="shared" si="11"/>
        <v/>
      </c>
      <c r="Z49" s="9" t="str">
        <f t="shared" si="12"/>
        <v/>
      </c>
      <c r="AA49" s="9" t="str">
        <f t="shared" si="16"/>
        <v/>
      </c>
      <c r="AB49" s="9" t="str">
        <f t="shared" si="17"/>
        <v/>
      </c>
      <c r="AC49" s="9" t="str">
        <f t="shared" si="14"/>
        <v/>
      </c>
      <c r="AD49" s="30" t="str">
        <f t="shared" si="15"/>
        <v/>
      </c>
      <c r="AE49" s="26"/>
      <c r="AF49" s="26"/>
    </row>
    <row r="50" spans="2:32">
      <c r="B50" s="52"/>
      <c r="C50" s="21"/>
      <c r="D50" s="22"/>
      <c r="E50" s="22"/>
      <c r="F50" s="22"/>
      <c r="G50" s="22"/>
      <c r="H50" s="22"/>
      <c r="I50" s="22"/>
      <c r="J50" s="22"/>
      <c r="K50" s="22"/>
      <c r="L50" s="23"/>
      <c r="M50" s="22"/>
      <c r="N50" s="24"/>
      <c r="O50" s="24"/>
      <c r="P50" s="25"/>
      <c r="T50" s="9" t="str">
        <f t="shared" si="6"/>
        <v/>
      </c>
      <c r="U50" s="9" t="str">
        <f t="shared" si="7"/>
        <v/>
      </c>
      <c r="V50" s="9" t="str">
        <f t="shared" si="8"/>
        <v/>
      </c>
      <c r="W50" s="9" t="str">
        <f t="shared" si="9"/>
        <v/>
      </c>
      <c r="X50" s="9" t="str">
        <f t="shared" si="10"/>
        <v/>
      </c>
      <c r="Y50" s="9" t="str">
        <f t="shared" si="11"/>
        <v/>
      </c>
      <c r="Z50" s="9" t="str">
        <f t="shared" si="12"/>
        <v/>
      </c>
      <c r="AA50" s="9" t="str">
        <f t="shared" si="16"/>
        <v/>
      </c>
      <c r="AB50" s="9" t="str">
        <f t="shared" si="17"/>
        <v/>
      </c>
      <c r="AC50" s="9" t="str">
        <f t="shared" si="14"/>
        <v/>
      </c>
      <c r="AD50" s="30" t="str">
        <f t="shared" si="15"/>
        <v/>
      </c>
      <c r="AE50" s="26"/>
      <c r="AF50" s="26"/>
    </row>
    <row r="51" spans="2:32">
      <c r="B51" s="50"/>
      <c r="C51" s="21"/>
      <c r="D51" s="22"/>
      <c r="E51" s="22"/>
      <c r="F51" s="22"/>
      <c r="G51" s="22"/>
      <c r="H51" s="22"/>
      <c r="I51" s="22"/>
      <c r="J51" s="22"/>
      <c r="K51" s="22"/>
      <c r="L51" s="23"/>
      <c r="M51" s="22"/>
      <c r="N51" s="24"/>
      <c r="O51" s="24"/>
      <c r="P51" s="25"/>
      <c r="T51" s="9" t="str">
        <f t="shared" si="6"/>
        <v/>
      </c>
      <c r="U51" s="9" t="str">
        <f t="shared" si="7"/>
        <v/>
      </c>
      <c r="V51" s="9" t="str">
        <f t="shared" si="8"/>
        <v/>
      </c>
      <c r="W51" s="9" t="str">
        <f t="shared" si="9"/>
        <v/>
      </c>
      <c r="X51" s="9" t="str">
        <f t="shared" si="10"/>
        <v/>
      </c>
      <c r="Y51" s="9" t="str">
        <f t="shared" si="11"/>
        <v/>
      </c>
      <c r="Z51" s="9" t="str">
        <f t="shared" si="12"/>
        <v/>
      </c>
      <c r="AA51" s="9" t="str">
        <f t="shared" si="16"/>
        <v/>
      </c>
      <c r="AB51" s="9" t="str">
        <f t="shared" si="17"/>
        <v/>
      </c>
      <c r="AC51" s="9" t="str">
        <f t="shared" si="14"/>
        <v/>
      </c>
      <c r="AD51" s="30" t="str">
        <f t="shared" si="15"/>
        <v/>
      </c>
      <c r="AE51" s="26"/>
      <c r="AF51" s="26"/>
    </row>
    <row r="52" spans="2:32">
      <c r="B52" s="51"/>
      <c r="C52" s="21"/>
      <c r="D52" s="22"/>
      <c r="E52" s="22"/>
      <c r="F52" s="22"/>
      <c r="G52" s="22"/>
      <c r="H52" s="22"/>
      <c r="I52" s="22"/>
      <c r="J52" s="22"/>
      <c r="K52" s="22"/>
      <c r="L52" s="23"/>
      <c r="M52" s="22"/>
      <c r="N52" s="24"/>
      <c r="O52" s="24"/>
      <c r="P52" s="25"/>
      <c r="T52" s="9" t="str">
        <f t="shared" si="6"/>
        <v/>
      </c>
      <c r="U52" s="9" t="str">
        <f t="shared" si="7"/>
        <v/>
      </c>
      <c r="V52" s="9" t="str">
        <f t="shared" si="8"/>
        <v/>
      </c>
      <c r="W52" s="9" t="str">
        <f t="shared" si="9"/>
        <v/>
      </c>
      <c r="X52" s="9" t="str">
        <f t="shared" si="10"/>
        <v/>
      </c>
      <c r="Y52" s="9" t="str">
        <f t="shared" si="11"/>
        <v/>
      </c>
      <c r="Z52" s="9" t="str">
        <f t="shared" si="12"/>
        <v/>
      </c>
      <c r="AA52" s="9" t="str">
        <f t="shared" si="16"/>
        <v/>
      </c>
      <c r="AB52" s="9" t="str">
        <f t="shared" si="17"/>
        <v/>
      </c>
      <c r="AC52" s="9" t="str">
        <f t="shared" si="14"/>
        <v/>
      </c>
      <c r="AD52" s="30" t="str">
        <f t="shared" si="15"/>
        <v/>
      </c>
      <c r="AE52" s="26"/>
      <c r="AF52" s="26"/>
    </row>
    <row r="53" spans="2:32">
      <c r="B53" s="52"/>
      <c r="C53" s="21"/>
      <c r="D53" s="22"/>
      <c r="E53" s="22"/>
      <c r="F53" s="22"/>
      <c r="G53" s="22"/>
      <c r="H53" s="22"/>
      <c r="I53" s="22"/>
      <c r="J53" s="22"/>
      <c r="K53" s="22"/>
      <c r="L53" s="23"/>
      <c r="M53" s="22"/>
      <c r="N53" s="24"/>
      <c r="O53" s="24"/>
      <c r="P53" s="25"/>
      <c r="T53" s="9" t="str">
        <f t="shared" si="6"/>
        <v/>
      </c>
      <c r="U53" s="9" t="str">
        <f t="shared" si="7"/>
        <v/>
      </c>
      <c r="V53" s="9" t="str">
        <f t="shared" si="8"/>
        <v/>
      </c>
      <c r="W53" s="9" t="str">
        <f t="shared" si="9"/>
        <v/>
      </c>
      <c r="X53" s="9" t="str">
        <f t="shared" si="10"/>
        <v/>
      </c>
      <c r="Y53" s="9" t="str">
        <f t="shared" si="11"/>
        <v/>
      </c>
      <c r="Z53" s="9" t="str">
        <f t="shared" si="12"/>
        <v/>
      </c>
      <c r="AA53" s="9" t="str">
        <f t="shared" si="16"/>
        <v/>
      </c>
      <c r="AB53" s="9" t="str">
        <f t="shared" si="17"/>
        <v/>
      </c>
      <c r="AC53" s="9" t="str">
        <f t="shared" si="14"/>
        <v/>
      </c>
      <c r="AD53" s="30" t="str">
        <f t="shared" si="15"/>
        <v/>
      </c>
      <c r="AE53" s="26"/>
      <c r="AF53" s="26"/>
    </row>
    <row r="54" spans="2:32">
      <c r="B54" s="46"/>
      <c r="C54" s="21"/>
      <c r="D54" s="22"/>
      <c r="E54" s="22"/>
      <c r="F54" s="22"/>
      <c r="G54" s="22"/>
      <c r="H54" s="22"/>
      <c r="I54" s="22"/>
      <c r="J54" s="22"/>
      <c r="K54" s="22"/>
      <c r="L54" s="23"/>
      <c r="M54" s="22"/>
      <c r="N54" s="24"/>
      <c r="O54" s="24"/>
      <c r="P54" s="25"/>
      <c r="T54" s="9" t="str">
        <f t="shared" si="6"/>
        <v/>
      </c>
      <c r="U54" s="9" t="str">
        <f t="shared" si="7"/>
        <v/>
      </c>
      <c r="V54" s="9" t="str">
        <f t="shared" si="8"/>
        <v/>
      </c>
      <c r="W54" s="9" t="str">
        <f t="shared" si="9"/>
        <v/>
      </c>
      <c r="X54" s="9" t="str">
        <f t="shared" si="10"/>
        <v/>
      </c>
      <c r="Y54" s="9" t="str">
        <f t="shared" si="11"/>
        <v/>
      </c>
      <c r="Z54" s="9" t="str">
        <f t="shared" si="12"/>
        <v/>
      </c>
      <c r="AA54" s="9" t="str">
        <f t="shared" si="16"/>
        <v/>
      </c>
      <c r="AB54" s="9" t="str">
        <f t="shared" si="17"/>
        <v/>
      </c>
      <c r="AC54" s="9" t="str">
        <f t="shared" si="14"/>
        <v/>
      </c>
      <c r="AD54" s="30" t="str">
        <f t="shared" si="15"/>
        <v/>
      </c>
      <c r="AE54" s="26"/>
      <c r="AF54" s="26"/>
    </row>
    <row r="55" spans="2:32">
      <c r="B55" s="46"/>
      <c r="C55" s="21"/>
      <c r="D55" s="22"/>
      <c r="E55" s="22"/>
      <c r="F55" s="22"/>
      <c r="G55" s="22"/>
      <c r="H55" s="22"/>
      <c r="I55" s="22"/>
      <c r="J55" s="22"/>
      <c r="K55" s="22"/>
      <c r="L55" s="23"/>
      <c r="M55" s="22"/>
      <c r="N55" s="24"/>
      <c r="O55" s="24"/>
      <c r="P55" s="25"/>
      <c r="T55" s="9" t="str">
        <f t="shared" si="6"/>
        <v/>
      </c>
      <c r="U55" s="9" t="str">
        <f t="shared" si="7"/>
        <v/>
      </c>
      <c r="V55" s="9" t="str">
        <f t="shared" si="8"/>
        <v/>
      </c>
      <c r="W55" s="9" t="str">
        <f t="shared" si="9"/>
        <v/>
      </c>
      <c r="X55" s="9" t="str">
        <f t="shared" si="10"/>
        <v/>
      </c>
      <c r="Y55" s="9" t="str">
        <f t="shared" si="11"/>
        <v/>
      </c>
      <c r="Z55" s="9" t="str">
        <f t="shared" si="12"/>
        <v/>
      </c>
      <c r="AA55" s="9" t="str">
        <f t="shared" si="16"/>
        <v/>
      </c>
      <c r="AB55" s="9" t="str">
        <f t="shared" si="17"/>
        <v/>
      </c>
      <c r="AC55" s="9" t="str">
        <f t="shared" si="14"/>
        <v/>
      </c>
      <c r="AD55" s="30" t="str">
        <f t="shared" si="15"/>
        <v/>
      </c>
      <c r="AE55" s="26"/>
      <c r="AF55" s="26"/>
    </row>
    <row r="56" spans="2:32">
      <c r="B56" s="46"/>
      <c r="C56" s="21"/>
      <c r="D56" s="22"/>
      <c r="E56" s="22"/>
      <c r="F56" s="22"/>
      <c r="G56" s="22"/>
      <c r="H56" s="22"/>
      <c r="I56" s="22"/>
      <c r="J56" s="22"/>
      <c r="K56" s="22"/>
      <c r="L56" s="23"/>
      <c r="M56" s="22"/>
      <c r="N56" s="24"/>
      <c r="O56" s="24"/>
      <c r="P56" s="25"/>
      <c r="T56" s="9" t="str">
        <f t="shared" si="6"/>
        <v/>
      </c>
      <c r="U56" s="9" t="str">
        <f t="shared" si="7"/>
        <v/>
      </c>
      <c r="V56" s="9" t="str">
        <f t="shared" si="8"/>
        <v/>
      </c>
      <c r="W56" s="9" t="str">
        <f t="shared" si="9"/>
        <v/>
      </c>
      <c r="X56" s="9" t="str">
        <f t="shared" si="10"/>
        <v/>
      </c>
      <c r="Y56" s="9" t="str">
        <f t="shared" si="11"/>
        <v/>
      </c>
      <c r="Z56" s="9" t="str">
        <f t="shared" si="12"/>
        <v/>
      </c>
      <c r="AA56" s="9" t="str">
        <f t="shared" si="16"/>
        <v/>
      </c>
      <c r="AB56" s="9" t="str">
        <f t="shared" si="17"/>
        <v/>
      </c>
      <c r="AC56" s="9" t="str">
        <f t="shared" si="14"/>
        <v/>
      </c>
      <c r="AD56" s="30" t="str">
        <f t="shared" si="15"/>
        <v/>
      </c>
      <c r="AE56" s="26"/>
      <c r="AF56" s="26"/>
    </row>
    <row r="57" spans="2:32">
      <c r="B57" s="46"/>
      <c r="C57" s="21"/>
      <c r="D57" s="22"/>
      <c r="E57" s="22"/>
      <c r="F57" s="22"/>
      <c r="G57" s="22"/>
      <c r="H57" s="22"/>
      <c r="I57" s="22"/>
      <c r="J57" s="22"/>
      <c r="K57" s="22"/>
      <c r="L57" s="23"/>
      <c r="M57" s="22"/>
      <c r="N57" s="24"/>
      <c r="O57" s="24"/>
      <c r="P57" s="25"/>
      <c r="T57" s="9" t="str">
        <f t="shared" si="6"/>
        <v/>
      </c>
      <c r="U57" s="9" t="str">
        <f t="shared" si="7"/>
        <v/>
      </c>
      <c r="V57" s="9" t="str">
        <f t="shared" si="8"/>
        <v/>
      </c>
      <c r="W57" s="9" t="str">
        <f t="shared" si="9"/>
        <v/>
      </c>
      <c r="X57" s="9" t="str">
        <f t="shared" si="10"/>
        <v/>
      </c>
      <c r="Y57" s="9" t="str">
        <f t="shared" si="11"/>
        <v/>
      </c>
      <c r="Z57" s="9" t="str">
        <f t="shared" si="12"/>
        <v/>
      </c>
      <c r="AA57" s="9" t="str">
        <f t="shared" si="16"/>
        <v/>
      </c>
      <c r="AB57" s="9" t="str">
        <f t="shared" si="17"/>
        <v/>
      </c>
      <c r="AC57" s="9" t="str">
        <f t="shared" si="14"/>
        <v/>
      </c>
      <c r="AD57" s="30" t="str">
        <f t="shared" si="15"/>
        <v/>
      </c>
      <c r="AE57" s="26"/>
      <c r="AF57" s="26"/>
    </row>
    <row r="58" spans="2:32">
      <c r="B58" s="46"/>
      <c r="C58" s="21"/>
      <c r="D58" s="22"/>
      <c r="E58" s="22"/>
      <c r="F58" s="22"/>
      <c r="G58" s="22"/>
      <c r="H58" s="22"/>
      <c r="I58" s="22"/>
      <c r="J58" s="22"/>
      <c r="K58" s="22"/>
      <c r="L58" s="23"/>
      <c r="M58" s="22"/>
      <c r="N58" s="24"/>
      <c r="O58" s="24"/>
      <c r="P58" s="25"/>
      <c r="T58" s="9" t="str">
        <f t="shared" si="6"/>
        <v/>
      </c>
      <c r="U58" s="9" t="str">
        <f t="shared" si="7"/>
        <v/>
      </c>
      <c r="V58" s="9" t="str">
        <f t="shared" si="8"/>
        <v/>
      </c>
      <c r="W58" s="9" t="str">
        <f t="shared" si="9"/>
        <v/>
      </c>
      <c r="X58" s="9" t="str">
        <f t="shared" si="10"/>
        <v/>
      </c>
      <c r="Y58" s="9" t="str">
        <f t="shared" si="11"/>
        <v/>
      </c>
      <c r="Z58" s="9" t="str">
        <f t="shared" si="12"/>
        <v/>
      </c>
      <c r="AA58" s="9" t="str">
        <f t="shared" si="16"/>
        <v/>
      </c>
      <c r="AB58" s="9" t="str">
        <f t="shared" si="17"/>
        <v/>
      </c>
      <c r="AC58" s="9" t="str">
        <f t="shared" si="14"/>
        <v/>
      </c>
      <c r="AD58" s="30" t="str">
        <f t="shared" si="15"/>
        <v/>
      </c>
      <c r="AE58" s="26"/>
      <c r="AF58" s="26"/>
    </row>
    <row r="59" spans="2:32"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</row>
  </sheetData>
  <mergeCells count="61">
    <mergeCell ref="I2:Y2"/>
    <mergeCell ref="P3:S3"/>
    <mergeCell ref="V3:Y3"/>
    <mergeCell ref="D14:G14"/>
    <mergeCell ref="B22:C22"/>
    <mergeCell ref="P4:S4"/>
    <mergeCell ref="V4:Y4"/>
    <mergeCell ref="P5:S5"/>
    <mergeCell ref="V5:Y5"/>
    <mergeCell ref="J10:M10"/>
    <mergeCell ref="V10:Y10"/>
    <mergeCell ref="P6:S6"/>
    <mergeCell ref="V6:Y6"/>
    <mergeCell ref="I8:Y8"/>
    <mergeCell ref="J9:M9"/>
    <mergeCell ref="P9:S9"/>
    <mergeCell ref="D9:G9"/>
    <mergeCell ref="D10:G10"/>
    <mergeCell ref="D11:G11"/>
    <mergeCell ref="D12:G12"/>
    <mergeCell ref="D13:G13"/>
    <mergeCell ref="B37:B39"/>
    <mergeCell ref="V16:Y16"/>
    <mergeCell ref="J11:M11"/>
    <mergeCell ref="V17:Y17"/>
    <mergeCell ref="J12:M12"/>
    <mergeCell ref="V12:Y12"/>
    <mergeCell ref="P17:S17"/>
    <mergeCell ref="V15:Y15"/>
    <mergeCell ref="V11:Y11"/>
    <mergeCell ref="P15:S15"/>
    <mergeCell ref="P11:S11"/>
    <mergeCell ref="J16:M16"/>
    <mergeCell ref="V14:Y14"/>
    <mergeCell ref="B23:C23"/>
    <mergeCell ref="B32:B36"/>
    <mergeCell ref="B21:C21"/>
    <mergeCell ref="B54:B58"/>
    <mergeCell ref="J3:M3"/>
    <mergeCell ref="J4:M4"/>
    <mergeCell ref="J5:M5"/>
    <mergeCell ref="J6:M6"/>
    <mergeCell ref="B40:B42"/>
    <mergeCell ref="B43:B47"/>
    <mergeCell ref="B48:B50"/>
    <mergeCell ref="B51:B53"/>
    <mergeCell ref="M22:P22"/>
    <mergeCell ref="B20:C20"/>
    <mergeCell ref="D20:L20"/>
    <mergeCell ref="D5:G5"/>
    <mergeCell ref="D6:G6"/>
    <mergeCell ref="D7:G7"/>
    <mergeCell ref="D8:G8"/>
    <mergeCell ref="V9:Y9"/>
    <mergeCell ref="P16:S16"/>
    <mergeCell ref="P10:S10"/>
    <mergeCell ref="P12:S12"/>
    <mergeCell ref="J17:M17"/>
    <mergeCell ref="J14:M14"/>
    <mergeCell ref="P14:S14"/>
    <mergeCell ref="J15:M15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35"/>
  <sheetViews>
    <sheetView tabSelected="1" zoomScaleNormal="100" workbookViewId="0">
      <pane xSplit="4" topLeftCell="E1" activePane="topRight" state="frozen"/>
      <selection pane="topRight" activeCell="AX20" sqref="AX20"/>
    </sheetView>
  </sheetViews>
  <sheetFormatPr baseColWidth="10" defaultColWidth="11.42578125" defaultRowHeight="15"/>
  <cols>
    <col min="1" max="1" width="3.28515625" style="31" customWidth="1"/>
    <col min="2" max="3" width="11.42578125" style="31"/>
    <col min="4" max="4" width="9.140625" bestFit="1" customWidth="1"/>
    <col min="5" max="5" width="2.5703125" bestFit="1" customWidth="1"/>
    <col min="6" max="6" width="2.5703125" style="31" bestFit="1" customWidth="1"/>
    <col min="7" max="9" width="2.85546875" bestFit="1" customWidth="1"/>
    <col min="10" max="13" width="2.5703125" bestFit="1" customWidth="1"/>
    <col min="14" max="19" width="3.140625" bestFit="1" customWidth="1"/>
    <col min="20" max="20" width="2.85546875" customWidth="1"/>
    <col min="21" max="26" width="2.5703125" bestFit="1" customWidth="1"/>
    <col min="27" max="32" width="3.140625" bestFit="1" customWidth="1"/>
    <col min="33" max="33" width="3.42578125" customWidth="1"/>
    <col min="34" max="36" width="2.5703125" bestFit="1" customWidth="1"/>
    <col min="37" max="37" width="2.7109375" bestFit="1" customWidth="1"/>
    <col min="38" max="42" width="2.5703125" bestFit="1" customWidth="1"/>
    <col min="43" max="45" width="3.140625" bestFit="1" customWidth="1"/>
    <col min="46" max="46" width="3.28515625" customWidth="1"/>
    <col min="47" max="50" width="2.140625" bestFit="1" customWidth="1"/>
    <col min="51" max="51" width="2.7109375" bestFit="1" customWidth="1"/>
    <col min="52" max="55" width="2.140625" bestFit="1" customWidth="1"/>
    <col min="56" max="58" width="3.140625" bestFit="1" customWidth="1"/>
    <col min="59" max="59" width="2.5703125" customWidth="1"/>
    <col min="60" max="61" width="2.140625" bestFit="1" customWidth="1"/>
    <col min="62" max="64" width="2.7109375" bestFit="1" customWidth="1"/>
    <col min="65" max="66" width="2.140625" bestFit="1" customWidth="1"/>
    <col min="67" max="67" width="2.7109375" bestFit="1" customWidth="1"/>
    <col min="68" max="68" width="2.140625" bestFit="1" customWidth="1"/>
    <col min="69" max="71" width="3.140625" bestFit="1" customWidth="1"/>
  </cols>
  <sheetData>
    <row r="1" spans="2:68" s="31" customFormat="1">
      <c r="G1" s="31" t="s">
        <v>82</v>
      </c>
      <c r="H1" s="31" t="s">
        <v>83</v>
      </c>
    </row>
    <row r="2" spans="2:68" s="31" customFormat="1">
      <c r="G2" s="31" t="s">
        <v>78</v>
      </c>
      <c r="H2" s="31" t="s">
        <v>80</v>
      </c>
    </row>
    <row r="3" spans="2:68">
      <c r="G3" t="s">
        <v>79</v>
      </c>
      <c r="H3" s="37" t="s">
        <v>81</v>
      </c>
    </row>
    <row r="4" spans="2:68">
      <c r="E4" s="72" t="s">
        <v>71</v>
      </c>
      <c r="F4" s="73"/>
      <c r="G4" s="73"/>
      <c r="H4" s="73"/>
      <c r="I4" s="73"/>
      <c r="J4" s="73"/>
      <c r="K4" s="73"/>
      <c r="L4" s="73"/>
      <c r="M4" s="73"/>
      <c r="N4" s="73"/>
      <c r="O4" s="73"/>
      <c r="P4" s="74"/>
      <c r="R4" s="4" t="s">
        <v>72</v>
      </c>
      <c r="S4" s="5"/>
      <c r="T4" s="5"/>
      <c r="U4" s="5"/>
      <c r="V4" s="5"/>
      <c r="W4" s="5"/>
      <c r="X4" s="5"/>
      <c r="Y4" s="5"/>
      <c r="Z4" s="5"/>
      <c r="AA4" s="5"/>
      <c r="AB4" s="5"/>
      <c r="AC4" s="6"/>
      <c r="AE4" s="4" t="s">
        <v>73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6"/>
      <c r="AR4" s="4" t="s">
        <v>75</v>
      </c>
      <c r="AS4" s="5"/>
      <c r="AT4" s="5"/>
      <c r="AU4" s="5"/>
      <c r="AV4" s="5"/>
      <c r="AW4" s="5"/>
      <c r="AX4" s="5"/>
      <c r="AY4" s="5"/>
      <c r="AZ4" s="5"/>
      <c r="BA4" s="5"/>
      <c r="BB4" s="5"/>
      <c r="BC4" s="6"/>
      <c r="BE4" s="4" t="s">
        <v>76</v>
      </c>
      <c r="BF4" s="5"/>
      <c r="BG4" s="5"/>
      <c r="BH4" s="5"/>
      <c r="BI4" s="5"/>
      <c r="BJ4" s="5"/>
      <c r="BK4" s="5"/>
      <c r="BL4" s="5"/>
      <c r="BM4" s="5"/>
      <c r="BN4" s="5"/>
      <c r="BO4" s="5"/>
      <c r="BP4" s="6"/>
    </row>
    <row r="5" spans="2:68">
      <c r="B5"/>
      <c r="E5" s="72" t="s">
        <v>77</v>
      </c>
      <c r="F5" s="73"/>
      <c r="G5" s="73"/>
      <c r="H5" s="73"/>
      <c r="I5" s="73"/>
      <c r="J5" s="73"/>
      <c r="K5" s="73"/>
      <c r="L5" s="73"/>
      <c r="M5" s="73"/>
      <c r="N5" s="73"/>
      <c r="O5" s="73"/>
      <c r="P5" s="74"/>
      <c r="R5" s="72" t="s">
        <v>77</v>
      </c>
      <c r="S5" s="73"/>
      <c r="T5" s="73"/>
      <c r="U5" s="73"/>
      <c r="V5" s="73"/>
      <c r="W5" s="73"/>
      <c r="X5" s="73"/>
      <c r="Y5" s="73"/>
      <c r="Z5" s="73"/>
      <c r="AA5" s="73"/>
      <c r="AB5" s="73"/>
      <c r="AC5" s="74"/>
      <c r="AE5" s="72" t="s">
        <v>77</v>
      </c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R5" s="72" t="s">
        <v>77</v>
      </c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4"/>
      <c r="BE5" s="72" t="s">
        <v>77</v>
      </c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74"/>
    </row>
    <row r="6" spans="2:68" ht="30">
      <c r="B6" s="3" t="s">
        <v>69</v>
      </c>
      <c r="C6" s="3" t="s">
        <v>70</v>
      </c>
      <c r="D6" s="38" t="s">
        <v>74</v>
      </c>
      <c r="E6" s="1">
        <v>1</v>
      </c>
      <c r="F6" s="1">
        <v>2</v>
      </c>
      <c r="G6" s="1">
        <v>3</v>
      </c>
      <c r="H6" s="1">
        <v>4</v>
      </c>
      <c r="I6" s="1">
        <v>5</v>
      </c>
      <c r="J6" s="1">
        <v>6</v>
      </c>
      <c r="K6" s="1">
        <v>7</v>
      </c>
      <c r="L6" s="1">
        <v>8</v>
      </c>
      <c r="M6" s="1">
        <v>9</v>
      </c>
      <c r="N6" s="1">
        <v>10</v>
      </c>
      <c r="O6" s="1">
        <v>11</v>
      </c>
      <c r="P6" s="1">
        <v>12</v>
      </c>
      <c r="Q6" s="75"/>
      <c r="R6" s="1">
        <v>1</v>
      </c>
      <c r="S6" s="1">
        <v>2</v>
      </c>
      <c r="T6" s="1">
        <v>3</v>
      </c>
      <c r="U6" s="1">
        <v>4</v>
      </c>
      <c r="V6" s="1">
        <v>5</v>
      </c>
      <c r="W6" s="1">
        <v>6</v>
      </c>
      <c r="X6" s="1">
        <v>7</v>
      </c>
      <c r="Y6" s="1">
        <v>8</v>
      </c>
      <c r="Z6" s="1">
        <v>9</v>
      </c>
      <c r="AA6" s="1">
        <v>10</v>
      </c>
      <c r="AB6" s="1">
        <v>11</v>
      </c>
      <c r="AC6" s="1">
        <v>12</v>
      </c>
      <c r="AD6" s="75"/>
      <c r="AE6" s="1">
        <v>1</v>
      </c>
      <c r="AF6" s="1">
        <v>2</v>
      </c>
      <c r="AG6" s="1">
        <v>3</v>
      </c>
      <c r="AH6" s="1">
        <v>4</v>
      </c>
      <c r="AI6" s="1">
        <v>5</v>
      </c>
      <c r="AJ6" s="1">
        <v>6</v>
      </c>
      <c r="AK6" s="1">
        <v>7</v>
      </c>
      <c r="AL6" s="1">
        <v>8</v>
      </c>
      <c r="AM6" s="1">
        <v>9</v>
      </c>
      <c r="AN6" s="1">
        <v>10</v>
      </c>
      <c r="AO6" s="1">
        <v>11</v>
      </c>
      <c r="AP6" s="1">
        <v>12</v>
      </c>
      <c r="AQ6" s="75"/>
      <c r="AR6" s="1">
        <v>1</v>
      </c>
      <c r="AS6" s="1">
        <v>2</v>
      </c>
      <c r="AT6" s="1">
        <v>3</v>
      </c>
      <c r="AU6" s="1">
        <v>4</v>
      </c>
      <c r="AV6" s="1">
        <v>5</v>
      </c>
      <c r="AW6" s="1">
        <v>6</v>
      </c>
      <c r="AX6" s="1">
        <v>7</v>
      </c>
      <c r="AY6" s="1">
        <v>8</v>
      </c>
      <c r="AZ6" s="1">
        <v>9</v>
      </c>
      <c r="BA6" s="1">
        <v>10</v>
      </c>
      <c r="BB6" s="1">
        <v>11</v>
      </c>
      <c r="BC6" s="1">
        <v>12</v>
      </c>
      <c r="BD6" s="75"/>
      <c r="BE6" s="1">
        <v>1</v>
      </c>
      <c r="BF6" s="1">
        <v>2</v>
      </c>
      <c r="BG6" s="1">
        <v>3</v>
      </c>
      <c r="BH6" s="1">
        <v>4</v>
      </c>
      <c r="BI6" s="1">
        <v>5</v>
      </c>
      <c r="BJ6" s="1">
        <v>6</v>
      </c>
      <c r="BK6" s="1">
        <v>7</v>
      </c>
      <c r="BL6" s="1">
        <v>8</v>
      </c>
      <c r="BM6" s="1">
        <v>9</v>
      </c>
      <c r="BN6" s="1">
        <v>10</v>
      </c>
      <c r="BO6" s="1">
        <v>11</v>
      </c>
      <c r="BP6" s="1">
        <v>12</v>
      </c>
    </row>
    <row r="7" spans="2:68">
      <c r="B7" s="1" t="str">
        <f>'analyse de risque'!B24</f>
        <v>heat gun</v>
      </c>
      <c r="C7" s="1" t="str">
        <f>'analyse de risque'!C24</f>
        <v>295 XXX</v>
      </c>
      <c r="D7" s="2">
        <f>'analyse de risque'!P24</f>
        <v>25.422176684690385</v>
      </c>
      <c r="E7" s="39"/>
      <c r="F7" s="39"/>
      <c r="G7" s="39" t="s">
        <v>78</v>
      </c>
      <c r="H7" s="39"/>
      <c r="I7" s="39"/>
      <c r="J7" s="39"/>
      <c r="K7" s="39"/>
      <c r="L7" s="39"/>
      <c r="M7" s="39"/>
      <c r="N7" s="39"/>
      <c r="O7" s="39"/>
      <c r="P7" s="39"/>
      <c r="Q7" s="40"/>
      <c r="R7" s="41"/>
      <c r="S7" s="41"/>
      <c r="T7" s="41" t="s">
        <v>78</v>
      </c>
      <c r="U7" s="41"/>
      <c r="V7" s="41"/>
      <c r="W7" s="41"/>
      <c r="X7" s="41"/>
      <c r="Y7" s="41"/>
      <c r="Z7" s="41"/>
      <c r="AA7" s="41"/>
      <c r="AB7" s="41"/>
      <c r="AC7" s="41"/>
      <c r="AD7" s="40"/>
      <c r="AE7" s="39"/>
      <c r="AF7" s="39"/>
      <c r="AG7" s="39" t="s">
        <v>78</v>
      </c>
      <c r="AH7" s="39"/>
      <c r="AI7" s="39"/>
      <c r="AJ7" s="39"/>
      <c r="AK7" s="39"/>
      <c r="AL7" s="39"/>
      <c r="AM7" s="39"/>
      <c r="AN7" s="39"/>
      <c r="AO7" s="39"/>
      <c r="AP7" s="39"/>
      <c r="AQ7" s="40"/>
      <c r="AR7" s="41"/>
      <c r="AS7" s="41"/>
      <c r="AT7" s="41" t="s">
        <v>78</v>
      </c>
      <c r="AU7" s="41"/>
      <c r="AV7" s="41"/>
      <c r="AW7" s="41"/>
      <c r="AX7" s="41"/>
      <c r="AY7" s="41"/>
      <c r="AZ7" s="41"/>
      <c r="BA7" s="41"/>
      <c r="BB7" s="41"/>
      <c r="BC7" s="41"/>
      <c r="BD7" s="40"/>
      <c r="BE7" s="39"/>
      <c r="BF7" s="39"/>
      <c r="BG7" s="39" t="s">
        <v>78</v>
      </c>
      <c r="BH7" s="39"/>
      <c r="BI7" s="39"/>
      <c r="BJ7" s="39"/>
      <c r="BK7" s="39"/>
      <c r="BL7" s="39"/>
      <c r="BM7" s="39"/>
      <c r="BN7" s="39"/>
      <c r="BO7" s="39"/>
      <c r="BP7" s="39"/>
    </row>
    <row r="8" spans="2:68">
      <c r="B8" s="1">
        <f>'analyse de risque'!B25</f>
        <v>0</v>
      </c>
      <c r="C8" s="1" t="str">
        <f>'analyse de risque'!C25</f>
        <v>295 XXX</v>
      </c>
      <c r="D8" s="2">
        <f>'analyse de risque'!P25</f>
        <v>25.422176684690385</v>
      </c>
      <c r="E8" s="39"/>
      <c r="F8" s="39"/>
      <c r="G8" s="39"/>
      <c r="H8" s="39" t="s">
        <v>78</v>
      </c>
      <c r="I8" s="39"/>
      <c r="J8" s="39"/>
      <c r="K8" s="39"/>
      <c r="L8" s="39"/>
      <c r="M8" s="39"/>
      <c r="N8" s="39"/>
      <c r="O8" s="39"/>
      <c r="P8" s="39"/>
      <c r="Q8" s="40"/>
      <c r="R8" s="41"/>
      <c r="S8" s="41"/>
      <c r="T8" s="41"/>
      <c r="U8" s="41" t="s">
        <v>78</v>
      </c>
      <c r="V8" s="41"/>
      <c r="W8" s="41"/>
      <c r="X8" s="41"/>
      <c r="Y8" s="41"/>
      <c r="Z8" s="41"/>
      <c r="AA8" s="41"/>
      <c r="AB8" s="41"/>
      <c r="AC8" s="41"/>
      <c r="AD8" s="40"/>
      <c r="AE8" s="39"/>
      <c r="AF8" s="39"/>
      <c r="AG8" s="39"/>
      <c r="AH8" s="39" t="s">
        <v>78</v>
      </c>
      <c r="AI8" s="39"/>
      <c r="AJ8" s="39"/>
      <c r="AK8" s="39"/>
      <c r="AL8" s="39"/>
      <c r="AM8" s="39"/>
      <c r="AN8" s="39"/>
      <c r="AO8" s="39"/>
      <c r="AP8" s="39"/>
      <c r="AQ8" s="40"/>
      <c r="AR8" s="41"/>
      <c r="AS8" s="41"/>
      <c r="AT8" s="41"/>
      <c r="AU8" s="41" t="s">
        <v>78</v>
      </c>
      <c r="AV8" s="41"/>
      <c r="AW8" s="41"/>
      <c r="AX8" s="41"/>
      <c r="AY8" s="41"/>
      <c r="AZ8" s="41"/>
      <c r="BA8" s="41"/>
      <c r="BB8" s="41"/>
      <c r="BC8" s="41"/>
      <c r="BD8" s="40"/>
      <c r="BE8" s="39"/>
      <c r="BF8" s="39"/>
      <c r="BG8" s="39"/>
      <c r="BH8" s="39" t="s">
        <v>78</v>
      </c>
      <c r="BI8" s="39"/>
      <c r="BJ8" s="39"/>
      <c r="BK8" s="39"/>
      <c r="BL8" s="39"/>
      <c r="BM8" s="39"/>
      <c r="BN8" s="39"/>
      <c r="BO8" s="39"/>
      <c r="BP8" s="39"/>
    </row>
    <row r="9" spans="2:68">
      <c r="B9" s="1">
        <f>'analyse de risque'!B26</f>
        <v>0</v>
      </c>
      <c r="C9" s="1" t="str">
        <f>'analyse de risque'!C26</f>
        <v>295 XXX</v>
      </c>
      <c r="D9" s="2">
        <f>'analyse de risque'!P26</f>
        <v>25.422176684690385</v>
      </c>
      <c r="E9" s="39"/>
      <c r="F9" s="39"/>
      <c r="G9" s="39"/>
      <c r="H9" s="39"/>
      <c r="I9" s="39" t="s">
        <v>78</v>
      </c>
      <c r="J9" s="39"/>
      <c r="K9" s="39"/>
      <c r="L9" s="39"/>
      <c r="M9" s="39"/>
      <c r="N9" s="39"/>
      <c r="O9" s="39"/>
      <c r="P9" s="39"/>
      <c r="Q9" s="40"/>
      <c r="R9" s="41"/>
      <c r="S9" s="41"/>
      <c r="T9" s="41"/>
      <c r="U9" s="41"/>
      <c r="V9" s="41" t="s">
        <v>78</v>
      </c>
      <c r="W9" s="41"/>
      <c r="X9" s="41"/>
      <c r="Y9" s="41"/>
      <c r="Z9" s="41"/>
      <c r="AA9" s="41"/>
      <c r="AB9" s="41"/>
      <c r="AC9" s="41"/>
      <c r="AD9" s="40"/>
      <c r="AE9" s="39"/>
      <c r="AF9" s="39"/>
      <c r="AG9" s="39"/>
      <c r="AH9" s="39"/>
      <c r="AI9" s="39" t="s">
        <v>78</v>
      </c>
      <c r="AJ9" s="39"/>
      <c r="AK9" s="39"/>
      <c r="AL9" s="39"/>
      <c r="AM9" s="39"/>
      <c r="AN9" s="39"/>
      <c r="AO9" s="39"/>
      <c r="AP9" s="39"/>
      <c r="AQ9" s="40"/>
      <c r="AR9" s="41"/>
      <c r="AS9" s="41"/>
      <c r="AT9" s="41"/>
      <c r="AU9" s="41"/>
      <c r="AV9" s="41" t="s">
        <v>78</v>
      </c>
      <c r="AW9" s="41"/>
      <c r="AX9" s="41"/>
      <c r="AY9" s="41"/>
      <c r="AZ9" s="41"/>
      <c r="BA9" s="41"/>
      <c r="BB9" s="41"/>
      <c r="BC9" s="41"/>
      <c r="BD9" s="40"/>
      <c r="BE9" s="39"/>
      <c r="BF9" s="39"/>
      <c r="BG9" s="39"/>
      <c r="BH9" s="39"/>
      <c r="BI9" s="39" t="s">
        <v>78</v>
      </c>
      <c r="BJ9" s="39"/>
      <c r="BK9" s="39"/>
      <c r="BL9" s="39"/>
      <c r="BM9" s="39"/>
      <c r="BN9" s="39"/>
      <c r="BO9" s="39"/>
      <c r="BP9" s="39"/>
    </row>
    <row r="10" spans="2:68">
      <c r="B10" s="1">
        <f>'analyse de risque'!B27</f>
        <v>0</v>
      </c>
      <c r="C10" s="1" t="str">
        <f>'analyse de risque'!C27</f>
        <v>295 XXX</v>
      </c>
      <c r="D10" s="2">
        <f>'analyse de risque'!P27</f>
        <v>25.422176684690385</v>
      </c>
      <c r="E10" s="39"/>
      <c r="F10" s="39"/>
      <c r="G10" s="39"/>
      <c r="H10" s="39"/>
      <c r="I10" s="39"/>
      <c r="J10" s="39"/>
      <c r="K10" s="39"/>
      <c r="L10" s="39"/>
      <c r="M10" s="39"/>
      <c r="N10" s="39" t="s">
        <v>78</v>
      </c>
      <c r="O10" s="39"/>
      <c r="P10" s="39"/>
      <c r="Q10" s="40"/>
      <c r="R10" s="41"/>
      <c r="S10" s="41"/>
      <c r="T10" s="41"/>
      <c r="U10" s="41"/>
      <c r="V10" s="41"/>
      <c r="W10" s="41"/>
      <c r="X10" s="41"/>
      <c r="Y10" s="41"/>
      <c r="Z10" s="41"/>
      <c r="AA10" s="41" t="s">
        <v>78</v>
      </c>
      <c r="AB10" s="41"/>
      <c r="AC10" s="41"/>
      <c r="AD10" s="40"/>
      <c r="AE10" s="39"/>
      <c r="AF10" s="39"/>
      <c r="AG10" s="39"/>
      <c r="AH10" s="39"/>
      <c r="AI10" s="39"/>
      <c r="AJ10" s="39"/>
      <c r="AK10" s="39"/>
      <c r="AL10" s="39"/>
      <c r="AM10" s="39"/>
      <c r="AN10" s="39" t="s">
        <v>78</v>
      </c>
      <c r="AO10" s="39"/>
      <c r="AP10" s="39"/>
      <c r="AQ10" s="40"/>
      <c r="AR10" s="41"/>
      <c r="AS10" s="41"/>
      <c r="AT10" s="41"/>
      <c r="AU10" s="41"/>
      <c r="AV10" s="41"/>
      <c r="AW10" s="41"/>
      <c r="AX10" s="41"/>
      <c r="AY10" s="41"/>
      <c r="AZ10" s="41"/>
      <c r="BA10" s="41" t="s">
        <v>78</v>
      </c>
      <c r="BB10" s="41"/>
      <c r="BC10" s="41"/>
      <c r="BD10" s="40"/>
      <c r="BE10" s="39"/>
      <c r="BF10" s="39"/>
      <c r="BG10" s="39"/>
      <c r="BH10" s="39"/>
      <c r="BI10" s="39"/>
      <c r="BJ10" s="39"/>
      <c r="BK10" s="39"/>
      <c r="BL10" s="39"/>
      <c r="BM10" s="39"/>
      <c r="BN10" s="39" t="s">
        <v>78</v>
      </c>
      <c r="BO10" s="39"/>
      <c r="BP10" s="39"/>
    </row>
    <row r="11" spans="2:68">
      <c r="B11" s="1">
        <f>'analyse de risque'!B28</f>
        <v>0</v>
      </c>
      <c r="C11" s="1" t="str">
        <f>'analyse de risque'!C28</f>
        <v>295 XXX</v>
      </c>
      <c r="D11" s="2">
        <f>'analyse de risque'!P28</f>
        <v>25.422176684690385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40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0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40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0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</row>
    <row r="12" spans="2:68">
      <c r="B12" s="1" t="str">
        <f>'analyse de risque'!B29</f>
        <v>soldering</v>
      </c>
      <c r="C12" s="1" t="str">
        <f>'analyse de risque'!C29</f>
        <v>295 XXX</v>
      </c>
      <c r="D12" s="2">
        <f>'analyse de risque'!P29</f>
        <v>16.963038858849359</v>
      </c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40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0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40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0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</row>
    <row r="13" spans="2:68">
      <c r="B13" s="1">
        <f>'analyse de risque'!B30</f>
        <v>0</v>
      </c>
      <c r="C13" s="1" t="str">
        <f>'analyse de risque'!C30</f>
        <v>295 XXX</v>
      </c>
      <c r="D13" s="2">
        <f>'analyse de risque'!P30</f>
        <v>16.963038858849359</v>
      </c>
      <c r="E13" s="39"/>
      <c r="F13" s="39"/>
      <c r="G13" s="39"/>
      <c r="H13" s="39"/>
      <c r="I13" s="39"/>
      <c r="J13" s="39"/>
      <c r="K13" s="39"/>
      <c r="L13" s="39"/>
      <c r="M13" s="39"/>
      <c r="N13" s="39" t="s">
        <v>82</v>
      </c>
      <c r="O13" s="39"/>
      <c r="P13" s="39"/>
      <c r="Q13" s="40"/>
      <c r="R13" s="41"/>
      <c r="S13" s="41"/>
      <c r="T13" s="41"/>
      <c r="U13" s="41"/>
      <c r="V13" s="41"/>
      <c r="W13" s="41"/>
      <c r="X13" s="41"/>
      <c r="Y13" s="41"/>
      <c r="Z13" s="41"/>
      <c r="AA13" s="41" t="s">
        <v>82</v>
      </c>
      <c r="AB13" s="41"/>
      <c r="AC13" s="41"/>
      <c r="AD13" s="40"/>
      <c r="AE13" s="39"/>
      <c r="AF13" s="39"/>
      <c r="AG13" s="39"/>
      <c r="AH13" s="39"/>
      <c r="AI13" s="39"/>
      <c r="AJ13" s="39"/>
      <c r="AK13" s="39"/>
      <c r="AL13" s="39"/>
      <c r="AM13" s="39"/>
      <c r="AN13" s="39" t="s">
        <v>82</v>
      </c>
      <c r="AO13" s="39"/>
      <c r="AP13" s="39"/>
      <c r="AQ13" s="40"/>
      <c r="AR13" s="41"/>
      <c r="AS13" s="41"/>
      <c r="AT13" s="41"/>
      <c r="AU13" s="41"/>
      <c r="AV13" s="41"/>
      <c r="AW13" s="41"/>
      <c r="AX13" s="41"/>
      <c r="AY13" s="41"/>
      <c r="AZ13" s="41"/>
      <c r="BA13" s="41" t="s">
        <v>82</v>
      </c>
      <c r="BB13" s="41"/>
      <c r="BC13" s="41"/>
      <c r="BD13" s="40"/>
      <c r="BE13" s="39"/>
      <c r="BF13" s="39"/>
      <c r="BG13" s="39"/>
      <c r="BH13" s="39"/>
      <c r="BI13" s="39"/>
      <c r="BJ13" s="39"/>
      <c r="BK13" s="39"/>
      <c r="BL13" s="39"/>
      <c r="BM13" s="39"/>
      <c r="BN13" s="39" t="s">
        <v>82</v>
      </c>
      <c r="BO13" s="39"/>
      <c r="BP13" s="39"/>
    </row>
    <row r="14" spans="2:68">
      <c r="B14" s="1">
        <f>'analyse de risque'!B31</f>
        <v>0</v>
      </c>
      <c r="C14" s="1" t="str">
        <f>'analyse de risque'!C31</f>
        <v>295 XXX</v>
      </c>
      <c r="D14" s="2">
        <f>'analyse de risque'!P31</f>
        <v>16.963038858849359</v>
      </c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40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0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40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0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</row>
    <row r="15" spans="2:68">
      <c r="B15" s="1">
        <f>'analyse de risque'!B32</f>
        <v>0</v>
      </c>
      <c r="C15" s="1">
        <f>'analyse de risque'!C32</f>
        <v>0</v>
      </c>
      <c r="D15" s="2">
        <f>'analyse de risque'!P32</f>
        <v>0</v>
      </c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0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40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0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</row>
    <row r="16" spans="2:68">
      <c r="B16" s="1">
        <f>'analyse de risque'!B33</f>
        <v>0</v>
      </c>
      <c r="C16" s="1">
        <f>'analyse de risque'!C33</f>
        <v>0</v>
      </c>
      <c r="D16" s="2">
        <f>'analyse de risque'!P33</f>
        <v>0</v>
      </c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40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0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40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0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</row>
    <row r="17" spans="2:68">
      <c r="B17" s="1">
        <f>'analyse de risque'!B34</f>
        <v>0</v>
      </c>
      <c r="C17" s="1">
        <f>'analyse de risque'!C34</f>
        <v>0</v>
      </c>
      <c r="D17" s="2">
        <f>'analyse de risque'!P34</f>
        <v>0</v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0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40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0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</row>
    <row r="18" spans="2:68">
      <c r="B18" s="1">
        <f>'analyse de risque'!B35</f>
        <v>0</v>
      </c>
      <c r="C18" s="1">
        <f>'analyse de risque'!C35</f>
        <v>0</v>
      </c>
      <c r="D18" s="2">
        <f>'analyse de risque'!P35</f>
        <v>0</v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40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0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40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0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</row>
    <row r="19" spans="2:68">
      <c r="B19" s="1">
        <f>'analyse de risque'!B36</f>
        <v>0</v>
      </c>
      <c r="C19" s="1">
        <f>'analyse de risque'!C36</f>
        <v>0</v>
      </c>
      <c r="D19" s="2">
        <f>'analyse de risque'!P36</f>
        <v>0</v>
      </c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0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40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0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</row>
    <row r="20" spans="2:68">
      <c r="B20" s="1">
        <f>'analyse de risque'!B37</f>
        <v>0</v>
      </c>
      <c r="C20" s="1">
        <f>'analyse de risque'!C37</f>
        <v>0</v>
      </c>
      <c r="D20" s="2">
        <f>'analyse de risque'!P37</f>
        <v>0</v>
      </c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40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0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40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0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</row>
    <row r="21" spans="2:68">
      <c r="B21" s="1">
        <f>'analyse de risque'!B38</f>
        <v>0</v>
      </c>
      <c r="C21" s="1">
        <f>'analyse de risque'!C38</f>
        <v>0</v>
      </c>
      <c r="D21" s="2">
        <f>'analyse de risque'!P38</f>
        <v>0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40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0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40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0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</row>
    <row r="22" spans="2:68">
      <c r="B22" s="1">
        <f>'analyse de risque'!B39</f>
        <v>0</v>
      </c>
      <c r="C22" s="1">
        <f>'analyse de risque'!C39</f>
        <v>0</v>
      </c>
      <c r="D22" s="2">
        <f>'analyse de risque'!P39</f>
        <v>0</v>
      </c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40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0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40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0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</row>
    <row r="23" spans="2:68">
      <c r="B23" s="1">
        <f>'analyse de risque'!B40</f>
        <v>0</v>
      </c>
      <c r="C23" s="1">
        <f>'analyse de risque'!C40</f>
        <v>0</v>
      </c>
      <c r="D23" s="2">
        <f>'analyse de risque'!P40</f>
        <v>0</v>
      </c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40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0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40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0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</row>
    <row r="24" spans="2:68">
      <c r="B24" s="1">
        <f>'analyse de risque'!B41</f>
        <v>0</v>
      </c>
      <c r="C24" s="1">
        <f>'analyse de risque'!C41</f>
        <v>0</v>
      </c>
      <c r="D24" s="2">
        <f>'analyse de risque'!P41</f>
        <v>0</v>
      </c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40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0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40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0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</row>
    <row r="25" spans="2:68">
      <c r="B25" s="1">
        <f>'analyse de risque'!B42</f>
        <v>0</v>
      </c>
      <c r="C25" s="1">
        <f>'analyse de risque'!C42</f>
        <v>0</v>
      </c>
      <c r="D25" s="2">
        <f>'analyse de risque'!P42</f>
        <v>0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40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0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40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0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</row>
    <row r="26" spans="2:68">
      <c r="B26" s="1">
        <f>'analyse de risque'!B43</f>
        <v>0</v>
      </c>
      <c r="C26" s="1">
        <f>'analyse de risque'!C43</f>
        <v>0</v>
      </c>
      <c r="D26" s="2">
        <f>'analyse de risque'!P43</f>
        <v>0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40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0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40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0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</row>
    <row r="27" spans="2:68">
      <c r="B27" s="1">
        <f>'analyse de risque'!B44</f>
        <v>0</v>
      </c>
      <c r="C27" s="1">
        <f>'analyse de risque'!C44</f>
        <v>0</v>
      </c>
      <c r="D27" s="2">
        <f>'analyse de risque'!P44</f>
        <v>0</v>
      </c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40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0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40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0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</row>
    <row r="28" spans="2:68">
      <c r="B28" s="1">
        <f>'analyse de risque'!B45</f>
        <v>0</v>
      </c>
      <c r="C28" s="1">
        <f>'analyse de risque'!C45</f>
        <v>0</v>
      </c>
      <c r="D28" s="2">
        <f>'analyse de risque'!P45</f>
        <v>0</v>
      </c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40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0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40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0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</row>
    <row r="29" spans="2:68">
      <c r="B29" s="1">
        <f>'analyse de risque'!B46</f>
        <v>0</v>
      </c>
      <c r="C29" s="1">
        <f>'analyse de risque'!C46</f>
        <v>0</v>
      </c>
      <c r="D29" s="2">
        <f>'analyse de risque'!P46</f>
        <v>0</v>
      </c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40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0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40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0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</row>
    <row r="30" spans="2:68">
      <c r="B30" s="1">
        <f>'analyse de risque'!B47</f>
        <v>0</v>
      </c>
      <c r="C30" s="1">
        <f>'analyse de risque'!C47</f>
        <v>0</v>
      </c>
      <c r="D30" s="2">
        <f>'analyse de risque'!P47</f>
        <v>0</v>
      </c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40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0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40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0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</row>
    <row r="31" spans="2:68">
      <c r="B31" s="1">
        <f>'analyse de risque'!B48</f>
        <v>0</v>
      </c>
      <c r="C31" s="1">
        <f>'analyse de risque'!C48</f>
        <v>0</v>
      </c>
      <c r="D31" s="2">
        <f>'analyse de risque'!P48</f>
        <v>0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40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0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40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0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</row>
    <row r="32" spans="2:68">
      <c r="B32" s="1">
        <f>'analyse de risque'!B49</f>
        <v>0</v>
      </c>
      <c r="C32" s="1">
        <f>'analyse de risque'!C49</f>
        <v>0</v>
      </c>
      <c r="D32" s="2">
        <f>'analyse de risque'!P49</f>
        <v>0</v>
      </c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40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0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40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0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</row>
    <row r="33" spans="2:68">
      <c r="B33" s="1">
        <f>'analyse de risque'!B50</f>
        <v>0</v>
      </c>
      <c r="C33" s="1">
        <f>'analyse de risque'!C50</f>
        <v>0</v>
      </c>
      <c r="D33" s="2">
        <f>'analyse de risque'!P50</f>
        <v>0</v>
      </c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40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0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40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0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</row>
    <row r="35" spans="2:68">
      <c r="B35"/>
    </row>
  </sheetData>
  <mergeCells count="6">
    <mergeCell ref="BE5:BP5"/>
    <mergeCell ref="E4:P4"/>
    <mergeCell ref="E5:P5"/>
    <mergeCell ref="AE5:AP5"/>
    <mergeCell ref="AR5:BC5"/>
    <mergeCell ref="R5:AC5"/>
  </mergeCells>
  <dataValidations count="1">
    <dataValidation type="list" allowBlank="1" showInputMessage="1" showErrorMessage="1" sqref="E7:P33 AE7:AP33 BE7:BP33 R7:AC33 AR7:BC33" xr:uid="{1832CCCC-AE88-4FAD-A971-B43A6AAB0F7D}">
      <formula1>$G$1:$G$3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analyse de risque</vt:lpstr>
      <vt:lpstr>planning opperet</vt:lpstr>
    </vt:vector>
  </TitlesOfParts>
  <Company>Zimmer Europe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Germa</dc:creator>
  <cp:lastModifiedBy>morgan Germa Colliou</cp:lastModifiedBy>
  <dcterms:created xsi:type="dcterms:W3CDTF">2016-05-20T09:04:44Z</dcterms:created>
  <dcterms:modified xsi:type="dcterms:W3CDTF">2025-11-17T09:19:32Z</dcterms:modified>
</cp:coreProperties>
</file>