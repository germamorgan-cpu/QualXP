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"/>
    </mc:Choice>
  </mc:AlternateContent>
  <xr:revisionPtr revIDLastSave="0" documentId="13_ncr:1_{E31D7BF3-FDCE-4EBD-B8BD-1C70321247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 mesure 3D" sheetId="4" r:id="rId1"/>
  </sheets>
  <externalReferences>
    <externalReference r:id="rId2"/>
  </externalReferences>
  <definedNames>
    <definedName name="ANALYTES">'[1]validation de méthode'!$AD$6:$AD$461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4" l="1"/>
  <c r="D35" i="4" s="1"/>
  <c r="AH83" i="4" s="1"/>
  <c r="W5" i="4"/>
  <c r="W6" i="4"/>
  <c r="AG119" i="4"/>
  <c r="AG120" i="4" s="1"/>
  <c r="AG121" i="4" s="1"/>
  <c r="AG122" i="4" s="1"/>
  <c r="AG123" i="4" s="1"/>
  <c r="AG124" i="4" s="1"/>
  <c r="AG125" i="4" s="1"/>
  <c r="AG126" i="4" s="1"/>
  <c r="AG127" i="4" s="1"/>
  <c r="AG128" i="4" s="1"/>
  <c r="AG129" i="4" s="1"/>
  <c r="AG130" i="4" s="1"/>
  <c r="AG131" i="4" s="1"/>
  <c r="AG132" i="4" s="1"/>
  <c r="AG133" i="4" s="1"/>
  <c r="AG134" i="4" s="1"/>
  <c r="AG135" i="4" s="1"/>
  <c r="AG136" i="4" s="1"/>
  <c r="AG137" i="4" s="1"/>
  <c r="AG138" i="4" s="1"/>
  <c r="AG139" i="4" s="1"/>
  <c r="AG140" i="4" s="1"/>
  <c r="AG141" i="4" s="1"/>
  <c r="AG142" i="4" s="1"/>
  <c r="AG143" i="4" s="1"/>
  <c r="AG144" i="4" s="1"/>
  <c r="AG145" i="4" s="1"/>
  <c r="AG146" i="4" s="1"/>
  <c r="AG147" i="4" s="1"/>
  <c r="AG148" i="4" s="1"/>
  <c r="AG149" i="4" s="1"/>
  <c r="AG150" i="4" s="1"/>
  <c r="AG151" i="4" s="1"/>
  <c r="AG152" i="4" s="1"/>
  <c r="AG153" i="4" s="1"/>
  <c r="AG154" i="4" s="1"/>
  <c r="P55" i="4"/>
  <c r="AN121" i="4" s="1"/>
  <c r="K26" i="4"/>
  <c r="J41" i="4" s="1"/>
  <c r="AH89" i="4" s="1"/>
  <c r="K27" i="4"/>
  <c r="J42" i="4" s="1"/>
  <c r="AH90" i="4" s="1"/>
  <c r="K28" i="4"/>
  <c r="J43" i="4" s="1"/>
  <c r="AH91" i="4" s="1"/>
  <c r="AB98" i="4"/>
  <c r="AC98" i="4" s="1"/>
  <c r="AB97" i="4"/>
  <c r="AC97" i="4" s="1"/>
  <c r="AG47" i="4"/>
  <c r="AG48" i="4" s="1"/>
  <c r="AG49" i="4" s="1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AG66" i="4" s="1"/>
  <c r="AG67" i="4" s="1"/>
  <c r="AG68" i="4" s="1"/>
  <c r="AG69" i="4" s="1"/>
  <c r="AG70" i="4" s="1"/>
  <c r="AG71" i="4" s="1"/>
  <c r="AG72" i="4" s="1"/>
  <c r="AG73" i="4" s="1"/>
  <c r="AG74" i="4" s="1"/>
  <c r="AG75" i="4" s="1"/>
  <c r="AG76" i="4" s="1"/>
  <c r="AG77" i="4" s="1"/>
  <c r="AG78" i="4" s="1"/>
  <c r="AG79" i="4" s="1"/>
  <c r="AG80" i="4" s="1"/>
  <c r="AG81" i="4" s="1"/>
  <c r="AG82" i="4" s="1"/>
  <c r="AG11" i="4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AG35" i="4" s="1"/>
  <c r="AG36" i="4" s="1"/>
  <c r="AG37" i="4" s="1"/>
  <c r="AG38" i="4" s="1"/>
  <c r="AG39" i="4" s="1"/>
  <c r="AG40" i="4" s="1"/>
  <c r="AG41" i="4" s="1"/>
  <c r="AG42" i="4" s="1"/>
  <c r="AG43" i="4" s="1"/>
  <c r="AG44" i="4" s="1"/>
  <c r="AG45" i="4" s="1"/>
  <c r="AG46" i="4" s="1"/>
  <c r="AG83" i="4"/>
  <c r="AG84" i="4" s="1"/>
  <c r="AG85" i="4" s="1"/>
  <c r="AG86" i="4" s="1"/>
  <c r="AG87" i="4" s="1"/>
  <c r="AG88" i="4" s="1"/>
  <c r="AG89" i="4" s="1"/>
  <c r="AG90" i="4" s="1"/>
  <c r="AG91" i="4" s="1"/>
  <c r="AG92" i="4" s="1"/>
  <c r="AG93" i="4" s="1"/>
  <c r="AG94" i="4" s="1"/>
  <c r="AG95" i="4" s="1"/>
  <c r="AG96" i="4" s="1"/>
  <c r="G56" i="4"/>
  <c r="G53" i="4"/>
  <c r="J57" i="4" s="1"/>
  <c r="M31" i="4"/>
  <c r="L46" i="4" s="1"/>
  <c r="AH46" i="4" s="1"/>
  <c r="L31" i="4"/>
  <c r="K46" i="4" s="1"/>
  <c r="AH34" i="4" s="1"/>
  <c r="K31" i="4"/>
  <c r="J46" i="4" s="1"/>
  <c r="AH22" i="4" s="1"/>
  <c r="M30" i="4"/>
  <c r="L45" i="4" s="1"/>
  <c r="AH45" i="4" s="1"/>
  <c r="L30" i="4"/>
  <c r="K45" i="4" s="1"/>
  <c r="AH33" i="4" s="1"/>
  <c r="K30" i="4"/>
  <c r="J45" i="4" s="1"/>
  <c r="AH21" i="4" s="1"/>
  <c r="M29" i="4"/>
  <c r="L44" i="4" s="1"/>
  <c r="AH44" i="4" s="1"/>
  <c r="L29" i="4"/>
  <c r="K44" i="4" s="1"/>
  <c r="AH32" i="4" s="1"/>
  <c r="K29" i="4"/>
  <c r="J44" i="4" s="1"/>
  <c r="AH20" i="4" s="1"/>
  <c r="J28" i="4"/>
  <c r="I43" i="4" s="1"/>
  <c r="AH43" i="4" s="1"/>
  <c r="I28" i="4"/>
  <c r="H43" i="4" s="1"/>
  <c r="AH31" i="4" s="1"/>
  <c r="H28" i="4"/>
  <c r="G43" i="4" s="1"/>
  <c r="AH19" i="4" s="1"/>
  <c r="J27" i="4"/>
  <c r="I42" i="4" s="1"/>
  <c r="AH42" i="4" s="1"/>
  <c r="I27" i="4"/>
  <c r="H42" i="4" s="1"/>
  <c r="AH30" i="4" s="1"/>
  <c r="H27" i="4"/>
  <c r="G42" i="4" s="1"/>
  <c r="AH18" i="4" s="1"/>
  <c r="J26" i="4"/>
  <c r="I41" i="4" s="1"/>
  <c r="AH41" i="4" s="1"/>
  <c r="I26" i="4"/>
  <c r="H41" i="4" s="1"/>
  <c r="AH29" i="4" s="1"/>
  <c r="H26" i="4"/>
  <c r="G41" i="4" s="1"/>
  <c r="AH17" i="4" s="1"/>
  <c r="G25" i="4"/>
  <c r="F40" i="4" s="1"/>
  <c r="AH40" i="4" s="1"/>
  <c r="F25" i="4"/>
  <c r="E40" i="4" s="1"/>
  <c r="AH28" i="4" s="1"/>
  <c r="E25" i="4"/>
  <c r="D40" i="4" s="1"/>
  <c r="AH16" i="4" s="1"/>
  <c r="G24" i="4"/>
  <c r="F39" i="4" s="1"/>
  <c r="AH39" i="4" s="1"/>
  <c r="F24" i="4"/>
  <c r="E39" i="4" s="1"/>
  <c r="AH27" i="4" s="1"/>
  <c r="E24" i="4"/>
  <c r="D39" i="4" s="1"/>
  <c r="AH15" i="4" s="1"/>
  <c r="G23" i="4"/>
  <c r="F38" i="4" s="1"/>
  <c r="F23" i="4"/>
  <c r="E38" i="4" s="1"/>
  <c r="E23" i="4"/>
  <c r="D38" i="4" s="1"/>
  <c r="AH14" i="4" s="1"/>
  <c r="P22" i="4"/>
  <c r="O37" i="4" s="1"/>
  <c r="AH37" i="4" s="1"/>
  <c r="O22" i="4"/>
  <c r="N37" i="4" s="1"/>
  <c r="AH25" i="4" s="1"/>
  <c r="N22" i="4"/>
  <c r="M37" i="4" s="1"/>
  <c r="AH13" i="4" s="1"/>
  <c r="P21" i="4"/>
  <c r="O36" i="4" s="1"/>
  <c r="AH36" i="4" s="1"/>
  <c r="O21" i="4"/>
  <c r="N36" i="4" s="1"/>
  <c r="AH24" i="4" s="1"/>
  <c r="N21" i="4"/>
  <c r="M36" i="4" s="1"/>
  <c r="AH12" i="4" s="1"/>
  <c r="P20" i="4"/>
  <c r="O35" i="4" s="1"/>
  <c r="AH35" i="4" s="1"/>
  <c r="O20" i="4"/>
  <c r="N35" i="4" s="1"/>
  <c r="AH23" i="4" s="1"/>
  <c r="N20" i="4"/>
  <c r="M35" i="4" s="1"/>
  <c r="AH11" i="4" s="1"/>
  <c r="P31" i="4"/>
  <c r="O46" i="4" s="1"/>
  <c r="AH154" i="4" s="1"/>
  <c r="O31" i="4"/>
  <c r="N46" i="4" s="1"/>
  <c r="AH142" i="4" s="1"/>
  <c r="N31" i="4"/>
  <c r="M46" i="4" s="1"/>
  <c r="AH130" i="4" s="1"/>
  <c r="P30" i="4"/>
  <c r="O45" i="4" s="1"/>
  <c r="AH153" i="4" s="1"/>
  <c r="O30" i="4"/>
  <c r="N45" i="4" s="1"/>
  <c r="AH141" i="4" s="1"/>
  <c r="N30" i="4"/>
  <c r="M45" i="4" s="1"/>
  <c r="AH129" i="4" s="1"/>
  <c r="P29" i="4"/>
  <c r="O44" i="4" s="1"/>
  <c r="AH152" i="4" s="1"/>
  <c r="O29" i="4"/>
  <c r="N44" i="4" s="1"/>
  <c r="AH140" i="4" s="1"/>
  <c r="N29" i="4"/>
  <c r="M44" i="4" s="1"/>
  <c r="AH128" i="4" s="1"/>
  <c r="G28" i="4"/>
  <c r="F43" i="4" s="1"/>
  <c r="AH151" i="4" s="1"/>
  <c r="F28" i="4"/>
  <c r="E43" i="4" s="1"/>
  <c r="AH139" i="4" s="1"/>
  <c r="E28" i="4"/>
  <c r="D43" i="4" s="1"/>
  <c r="AH127" i="4" s="1"/>
  <c r="G27" i="4"/>
  <c r="F42" i="4" s="1"/>
  <c r="AH150" i="4" s="1"/>
  <c r="F27" i="4"/>
  <c r="E42" i="4" s="1"/>
  <c r="AH138" i="4" s="1"/>
  <c r="E27" i="4"/>
  <c r="D42" i="4" s="1"/>
  <c r="AH126" i="4" s="1"/>
  <c r="G26" i="4"/>
  <c r="F41" i="4" s="1"/>
  <c r="AH149" i="4" s="1"/>
  <c r="F26" i="4"/>
  <c r="E41" i="4" s="1"/>
  <c r="AH137" i="4" s="1"/>
  <c r="E26" i="4"/>
  <c r="D41" i="4" s="1"/>
  <c r="AH125" i="4" s="1"/>
  <c r="J25" i="4"/>
  <c r="I40" i="4" s="1"/>
  <c r="AH148" i="4" s="1"/>
  <c r="I25" i="4"/>
  <c r="H40" i="4" s="1"/>
  <c r="AH136" i="4" s="1"/>
  <c r="H25" i="4"/>
  <c r="G40" i="4" s="1"/>
  <c r="AH124" i="4" s="1"/>
  <c r="J24" i="4"/>
  <c r="I39" i="4" s="1"/>
  <c r="AH147" i="4" s="1"/>
  <c r="I24" i="4"/>
  <c r="H39" i="4" s="1"/>
  <c r="AH135" i="4" s="1"/>
  <c r="H24" i="4"/>
  <c r="G39" i="4" s="1"/>
  <c r="AH123" i="4" s="1"/>
  <c r="J23" i="4"/>
  <c r="I38" i="4" s="1"/>
  <c r="AH146" i="4" s="1"/>
  <c r="I23" i="4"/>
  <c r="H38" i="4" s="1"/>
  <c r="AH134" i="4" s="1"/>
  <c r="H23" i="4"/>
  <c r="G38" i="4" s="1"/>
  <c r="AH122" i="4" s="1"/>
  <c r="M22" i="4"/>
  <c r="L37" i="4" s="1"/>
  <c r="AH145" i="4" s="1"/>
  <c r="L22" i="4"/>
  <c r="K37" i="4" s="1"/>
  <c r="AH133" i="4" s="1"/>
  <c r="K22" i="4"/>
  <c r="J37" i="4" s="1"/>
  <c r="AH121" i="4" s="1"/>
  <c r="M21" i="4"/>
  <c r="L36" i="4" s="1"/>
  <c r="AH144" i="4" s="1"/>
  <c r="L21" i="4"/>
  <c r="K36" i="4" s="1"/>
  <c r="AH132" i="4" s="1"/>
  <c r="K21" i="4"/>
  <c r="J36" i="4" s="1"/>
  <c r="AH120" i="4" s="1"/>
  <c r="M20" i="4"/>
  <c r="L35" i="4" s="1"/>
  <c r="AH143" i="4" s="1"/>
  <c r="L20" i="4"/>
  <c r="K35" i="4" s="1"/>
  <c r="AH131" i="4" s="1"/>
  <c r="K20" i="4"/>
  <c r="J35" i="4" s="1"/>
  <c r="AH119" i="4" s="1"/>
  <c r="P28" i="4"/>
  <c r="O43" i="4" s="1"/>
  <c r="AH79" i="4" s="1"/>
  <c r="O28" i="4"/>
  <c r="N43" i="4" s="1"/>
  <c r="AH67" i="4" s="1"/>
  <c r="N28" i="4"/>
  <c r="M43" i="4" s="1"/>
  <c r="AH55" i="4" s="1"/>
  <c r="P27" i="4"/>
  <c r="O42" i="4" s="1"/>
  <c r="AH78" i="4" s="1"/>
  <c r="O27" i="4"/>
  <c r="N42" i="4" s="1"/>
  <c r="AH66" i="4" s="1"/>
  <c r="N27" i="4"/>
  <c r="M42" i="4" s="1"/>
  <c r="AH54" i="4" s="1"/>
  <c r="P26" i="4"/>
  <c r="O41" i="4" s="1"/>
  <c r="AH77" i="4" s="1"/>
  <c r="O26" i="4"/>
  <c r="N41" i="4" s="1"/>
  <c r="AH65" i="4" s="1"/>
  <c r="N26" i="4"/>
  <c r="M41" i="4" s="1"/>
  <c r="AH53" i="4" s="1"/>
  <c r="M25" i="4"/>
  <c r="L40" i="4" s="1"/>
  <c r="AH76" i="4" s="1"/>
  <c r="L25" i="4"/>
  <c r="K40" i="4" s="1"/>
  <c r="AH64" i="4" s="1"/>
  <c r="K25" i="4"/>
  <c r="J40" i="4" s="1"/>
  <c r="AH52" i="4" s="1"/>
  <c r="M24" i="4"/>
  <c r="L39" i="4" s="1"/>
  <c r="AH75" i="4" s="1"/>
  <c r="L24" i="4"/>
  <c r="K39" i="4" s="1"/>
  <c r="AH63" i="4" s="1"/>
  <c r="K24" i="4"/>
  <c r="J39" i="4" s="1"/>
  <c r="AH51" i="4" s="1"/>
  <c r="M23" i="4"/>
  <c r="L38" i="4" s="1"/>
  <c r="AH74" i="4" s="1"/>
  <c r="L23" i="4"/>
  <c r="K38" i="4" s="1"/>
  <c r="AH62" i="4" s="1"/>
  <c r="K23" i="4"/>
  <c r="J38" i="4" s="1"/>
  <c r="AH50" i="4" s="1"/>
  <c r="G31" i="4"/>
  <c r="F46" i="4" s="1"/>
  <c r="AH82" i="4" s="1"/>
  <c r="F31" i="4"/>
  <c r="E46" i="4" s="1"/>
  <c r="AH70" i="4" s="1"/>
  <c r="E31" i="4"/>
  <c r="D46" i="4" s="1"/>
  <c r="AH58" i="4" s="1"/>
  <c r="G30" i="4"/>
  <c r="F45" i="4" s="1"/>
  <c r="AH81" i="4" s="1"/>
  <c r="F30" i="4"/>
  <c r="E45" i="4" s="1"/>
  <c r="AH69" i="4" s="1"/>
  <c r="E30" i="4"/>
  <c r="D45" i="4" s="1"/>
  <c r="AH57" i="4" s="1"/>
  <c r="G29" i="4"/>
  <c r="F44" i="4" s="1"/>
  <c r="AH80" i="4" s="1"/>
  <c r="F29" i="4"/>
  <c r="E44" i="4" s="1"/>
  <c r="AH68" i="4" s="1"/>
  <c r="E29" i="4"/>
  <c r="D44" i="4" s="1"/>
  <c r="AH56" i="4" s="1"/>
  <c r="J22" i="4"/>
  <c r="I37" i="4" s="1"/>
  <c r="AH73" i="4" s="1"/>
  <c r="I22" i="4"/>
  <c r="H37" i="4" s="1"/>
  <c r="AH61" i="4" s="1"/>
  <c r="H22" i="4"/>
  <c r="G37" i="4" s="1"/>
  <c r="AH49" i="4" s="1"/>
  <c r="J21" i="4"/>
  <c r="I36" i="4" s="1"/>
  <c r="AH72" i="4" s="1"/>
  <c r="I21" i="4"/>
  <c r="H36" i="4" s="1"/>
  <c r="AH60" i="4" s="1"/>
  <c r="H21" i="4"/>
  <c r="G36" i="4" s="1"/>
  <c r="AH48" i="4" s="1"/>
  <c r="J20" i="4"/>
  <c r="I35" i="4" s="1"/>
  <c r="AH71" i="4" s="1"/>
  <c r="I20" i="4"/>
  <c r="H35" i="4" s="1"/>
  <c r="AH59" i="4" s="1"/>
  <c r="H20" i="4"/>
  <c r="G35" i="4" s="1"/>
  <c r="AH47" i="4" s="1"/>
  <c r="P25" i="4"/>
  <c r="O40" i="4" s="1"/>
  <c r="AH118" i="4" s="1"/>
  <c r="O25" i="4"/>
  <c r="N40" i="4" s="1"/>
  <c r="AH106" i="4" s="1"/>
  <c r="N25" i="4"/>
  <c r="M40" i="4" s="1"/>
  <c r="AH94" i="4" s="1"/>
  <c r="P24" i="4"/>
  <c r="O39" i="4" s="1"/>
  <c r="AH117" i="4" s="1"/>
  <c r="O24" i="4"/>
  <c r="N39" i="4" s="1"/>
  <c r="AH105" i="4" s="1"/>
  <c r="N24" i="4"/>
  <c r="M39" i="4" s="1"/>
  <c r="AH93" i="4" s="1"/>
  <c r="P23" i="4"/>
  <c r="O38" i="4" s="1"/>
  <c r="AH116" i="4" s="1"/>
  <c r="O23" i="4"/>
  <c r="N38" i="4" s="1"/>
  <c r="AH104" i="4" s="1"/>
  <c r="N23" i="4"/>
  <c r="M38" i="4" s="1"/>
  <c r="AH92" i="4" s="1"/>
  <c r="M28" i="4"/>
  <c r="L43" i="4" s="1"/>
  <c r="AH115" i="4" s="1"/>
  <c r="L28" i="4"/>
  <c r="K43" i="4" s="1"/>
  <c r="AH103" i="4" s="1"/>
  <c r="M27" i="4"/>
  <c r="L42" i="4" s="1"/>
  <c r="AH114" i="4" s="1"/>
  <c r="L27" i="4"/>
  <c r="K42" i="4" s="1"/>
  <c r="AH102" i="4" s="1"/>
  <c r="M26" i="4"/>
  <c r="L41" i="4" s="1"/>
  <c r="AH113" i="4" s="1"/>
  <c r="L26" i="4"/>
  <c r="K41" i="4" s="1"/>
  <c r="AH101" i="4" s="1"/>
  <c r="J31" i="4"/>
  <c r="I46" i="4" s="1"/>
  <c r="AH112" i="4" s="1"/>
  <c r="I31" i="4"/>
  <c r="H46" i="4" s="1"/>
  <c r="AH100" i="4" s="1"/>
  <c r="H31" i="4"/>
  <c r="G46" i="4" s="1"/>
  <c r="AH88" i="4" s="1"/>
  <c r="J30" i="4"/>
  <c r="I45" i="4" s="1"/>
  <c r="AH111" i="4" s="1"/>
  <c r="I30" i="4"/>
  <c r="H45" i="4" s="1"/>
  <c r="AH99" i="4" s="1"/>
  <c r="H30" i="4"/>
  <c r="G45" i="4" s="1"/>
  <c r="AH87" i="4" s="1"/>
  <c r="J29" i="4"/>
  <c r="I44" i="4" s="1"/>
  <c r="AH110" i="4" s="1"/>
  <c r="I29" i="4"/>
  <c r="H44" i="4" s="1"/>
  <c r="AH98" i="4" s="1"/>
  <c r="H29" i="4"/>
  <c r="G44" i="4" s="1"/>
  <c r="AH86" i="4" s="1"/>
  <c r="G22" i="4"/>
  <c r="F37" i="4" s="1"/>
  <c r="AH109" i="4" s="1"/>
  <c r="F22" i="4"/>
  <c r="E37" i="4" s="1"/>
  <c r="AH97" i="4" s="1"/>
  <c r="E22" i="4"/>
  <c r="D37" i="4" s="1"/>
  <c r="AH85" i="4" s="1"/>
  <c r="G21" i="4"/>
  <c r="AF90" i="4" s="1"/>
  <c r="F21" i="4"/>
  <c r="E36" i="4" s="1"/>
  <c r="AH96" i="4" s="1"/>
  <c r="E21" i="4"/>
  <c r="D36" i="4" s="1"/>
  <c r="AH84" i="4" s="1"/>
  <c r="G20" i="4"/>
  <c r="F35" i="4" s="1"/>
  <c r="AH107" i="4" s="1"/>
  <c r="F20" i="4"/>
  <c r="E35" i="4" s="1"/>
  <c r="AH95" i="4" s="1"/>
  <c r="P41" i="4" l="1"/>
  <c r="P44" i="4"/>
  <c r="P38" i="4"/>
  <c r="AI121" i="4"/>
  <c r="AF98" i="4"/>
  <c r="AF113" i="4"/>
  <c r="AF106" i="4"/>
  <c r="AF101" i="4"/>
  <c r="AJ121" i="4"/>
  <c r="AF123" i="4"/>
  <c r="AF121" i="4"/>
  <c r="AF117" i="4"/>
  <c r="AF109" i="4"/>
  <c r="AF99" i="4"/>
  <c r="AF97" i="4"/>
  <c r="AF94" i="4"/>
  <c r="AG97" i="4"/>
  <c r="AG98" i="4" s="1"/>
  <c r="AG99" i="4" s="1"/>
  <c r="AG100" i="4" s="1"/>
  <c r="AG101" i="4" s="1"/>
  <c r="AG102" i="4" s="1"/>
  <c r="AG103" i="4" s="1"/>
  <c r="AG104" i="4" s="1"/>
  <c r="AG105" i="4" s="1"/>
  <c r="AG106" i="4" s="1"/>
  <c r="AG107" i="4" s="1"/>
  <c r="AG108" i="4" s="1"/>
  <c r="AG109" i="4" s="1"/>
  <c r="AG110" i="4" s="1"/>
  <c r="AG111" i="4" s="1"/>
  <c r="AG112" i="4" s="1"/>
  <c r="AG113" i="4" s="1"/>
  <c r="AG114" i="4" s="1"/>
  <c r="AG115" i="4" s="1"/>
  <c r="AG116" i="4" s="1"/>
  <c r="AG117" i="4" s="1"/>
  <c r="AG118" i="4" s="1"/>
  <c r="AF124" i="4"/>
  <c r="AM121" i="4"/>
  <c r="AF114" i="4"/>
  <c r="AF95" i="4"/>
  <c r="AF125" i="4"/>
  <c r="AF119" i="4"/>
  <c r="AF115" i="4"/>
  <c r="AF111" i="4"/>
  <c r="AF107" i="4"/>
  <c r="AF103" i="4"/>
  <c r="AF102" i="4"/>
  <c r="AF96" i="4"/>
  <c r="AF118" i="4"/>
  <c r="AF110" i="4"/>
  <c r="AF126" i="4"/>
  <c r="AF122" i="4"/>
  <c r="AF120" i="4"/>
  <c r="AF116" i="4"/>
  <c r="AF112" i="4"/>
  <c r="AF108" i="4"/>
  <c r="AF104" i="4"/>
  <c r="AF100" i="4"/>
  <c r="AF105" i="4"/>
  <c r="AF130" i="4"/>
  <c r="AF154" i="4"/>
  <c r="AF141" i="4"/>
  <c r="AF153" i="4"/>
  <c r="AF142" i="4"/>
  <c r="AF129" i="4"/>
  <c r="AF152" i="4"/>
  <c r="AF140" i="4"/>
  <c r="AF150" i="4"/>
  <c r="AF128" i="4"/>
  <c r="AF151" i="4"/>
  <c r="AF138" i="4"/>
  <c r="AF127" i="4"/>
  <c r="AF139" i="4"/>
  <c r="AF149" i="4"/>
  <c r="AF137" i="4"/>
  <c r="AF146" i="4"/>
  <c r="AF147" i="4"/>
  <c r="AF148" i="4"/>
  <c r="AF135" i="4"/>
  <c r="AF136" i="4"/>
  <c r="AF134" i="4"/>
  <c r="AF144" i="4"/>
  <c r="AF145" i="4"/>
  <c r="AF132" i="4"/>
  <c r="AF133" i="4"/>
  <c r="AF143" i="4"/>
  <c r="AF131" i="4"/>
  <c r="AF64" i="4"/>
  <c r="AF81" i="4"/>
  <c r="AF82" i="4"/>
  <c r="AF72" i="4"/>
  <c r="AF73" i="4"/>
  <c r="AF63" i="4"/>
  <c r="AF80" i="4"/>
  <c r="AF71" i="4"/>
  <c r="AF61" i="4"/>
  <c r="AF62" i="4"/>
  <c r="AF79" i="4"/>
  <c r="AF69" i="4"/>
  <c r="AF78" i="4"/>
  <c r="AF70" i="4"/>
  <c r="AF60" i="4"/>
  <c r="AF77" i="4"/>
  <c r="AF68" i="4"/>
  <c r="AF75" i="4"/>
  <c r="AF59" i="4"/>
  <c r="AF58" i="4"/>
  <c r="AF76" i="4"/>
  <c r="AF66" i="4"/>
  <c r="AF67" i="4"/>
  <c r="AF57" i="4"/>
  <c r="AF74" i="4"/>
  <c r="AF65" i="4"/>
  <c r="AF56" i="4"/>
  <c r="AF49" i="4"/>
  <c r="AF51" i="4"/>
  <c r="AF52" i="4"/>
  <c r="AF54" i="4"/>
  <c r="AF55" i="4"/>
  <c r="AF48" i="4"/>
  <c r="AF50" i="4"/>
  <c r="AF53" i="4"/>
  <c r="AF47" i="4"/>
  <c r="AF40" i="4"/>
  <c r="AF45" i="4"/>
  <c r="AF46" i="4"/>
  <c r="AF42" i="4"/>
  <c r="AF43" i="4"/>
  <c r="AF39" i="4"/>
  <c r="AF44" i="4"/>
  <c r="AF41" i="4"/>
  <c r="AF38" i="4"/>
  <c r="AF36" i="4"/>
  <c r="AF37" i="4"/>
  <c r="AF33" i="4"/>
  <c r="AF31" i="4"/>
  <c r="AF34" i="4"/>
  <c r="AF30" i="4"/>
  <c r="AF35" i="4"/>
  <c r="AF32" i="4"/>
  <c r="AF29" i="4"/>
  <c r="AF22" i="4"/>
  <c r="AF27" i="4"/>
  <c r="AF28" i="4"/>
  <c r="AF24" i="4"/>
  <c r="AF25" i="4"/>
  <c r="AF21" i="4"/>
  <c r="AF26" i="4"/>
  <c r="AF23" i="4"/>
  <c r="AF20" i="4"/>
  <c r="AF11" i="4"/>
  <c r="AF13" i="4"/>
  <c r="AF18" i="4"/>
  <c r="AF19" i="4"/>
  <c r="AF15" i="4"/>
  <c r="AF16" i="4"/>
  <c r="AF12" i="4"/>
  <c r="AF17" i="4"/>
  <c r="AF14" i="4"/>
  <c r="AF93" i="4"/>
  <c r="AF92" i="4"/>
  <c r="AF85" i="4"/>
  <c r="AF91" i="4"/>
  <c r="AF87" i="4"/>
  <c r="AF88" i="4"/>
  <c r="AF84" i="4"/>
  <c r="AF89" i="4"/>
  <c r="AF86" i="4"/>
  <c r="AF83" i="4"/>
  <c r="AJ49" i="4"/>
  <c r="AI49" i="4"/>
  <c r="AH38" i="4"/>
  <c r="AH26" i="4"/>
  <c r="G54" i="4"/>
  <c r="G55" i="4" s="1"/>
  <c r="F36" i="4"/>
  <c r="P35" i="4" s="1"/>
  <c r="D57" i="4" l="1"/>
  <c r="D53" i="4"/>
  <c r="AB102" i="4" a="1"/>
  <c r="AC104" i="4" s="1"/>
  <c r="G51" i="4"/>
  <c r="AH108" i="4"/>
  <c r="AJ85" i="4" s="1"/>
  <c r="AN85" i="4"/>
  <c r="AM85" i="4"/>
  <c r="AN49" i="4"/>
  <c r="AM49" i="4"/>
  <c r="AI13" i="4"/>
  <c r="AJ13" i="4"/>
  <c r="F50" i="4"/>
  <c r="AM13" i="4"/>
  <c r="D54" i="4"/>
  <c r="D50" i="4"/>
  <c r="C50" i="4"/>
  <c r="D55" i="4"/>
  <c r="D56" i="4"/>
  <c r="AN13" i="4"/>
  <c r="AI85" i="4" l="1"/>
  <c r="AH156" i="4"/>
  <c r="AB107" i="4"/>
  <c r="AC102" i="4"/>
  <c r="AB103" i="4"/>
  <c r="AC105" i="4"/>
  <c r="AC106" i="4"/>
  <c r="AB106" i="4"/>
  <c r="AB104" i="4"/>
  <c r="AC107" i="4"/>
  <c r="AB102" i="4"/>
  <c r="AC103" i="4"/>
  <c r="AB105" i="4"/>
  <c r="X84" i="4"/>
  <c r="E50" i="4"/>
  <c r="E57" i="4"/>
  <c r="E56" i="4"/>
  <c r="E53" i="4"/>
  <c r="G50" i="4"/>
  <c r="E55" i="4"/>
  <c r="E54" i="4"/>
  <c r="X83" i="4" l="1"/>
  <c r="Y83" i="4" s="1"/>
  <c r="AK121" i="4"/>
  <c r="AL121" i="4"/>
  <c r="X82" i="4"/>
  <c r="Y82" i="4" s="1"/>
  <c r="AL85" i="4"/>
  <c r="AK85" i="4"/>
  <c r="AL49" i="4"/>
  <c r="AK49" i="4"/>
  <c r="AK13" i="4"/>
  <c r="AL13" i="4"/>
  <c r="G52" i="4"/>
  <c r="J56" i="4" s="1"/>
  <c r="F54" i="4"/>
  <c r="K54" i="4" s="1"/>
  <c r="F56" i="4"/>
  <c r="F55" i="4"/>
  <c r="H55" i="4" s="1"/>
  <c r="F57" i="4"/>
  <c r="K57" i="4" s="1"/>
  <c r="F53" i="4"/>
  <c r="H50" i="4"/>
  <c r="D83" i="4" s="1"/>
  <c r="J51" i="4" l="1"/>
  <c r="J55" i="4"/>
  <c r="J53" i="4"/>
  <c r="J54" i="4"/>
  <c r="D82" i="4"/>
  <c r="H57" i="4"/>
  <c r="F51" i="4"/>
  <c r="H56" i="4"/>
  <c r="K56" i="4"/>
  <c r="K53" i="4"/>
  <c r="K55" i="4"/>
  <c r="H53" i="4"/>
  <c r="H54" i="4"/>
  <c r="I57" i="4" l="1"/>
  <c r="L57" i="4" s="1"/>
  <c r="O49" i="4"/>
  <c r="F52" i="4"/>
  <c r="H52" i="4" s="1"/>
  <c r="I56" i="4" s="1"/>
  <c r="L56" i="4" s="1"/>
  <c r="M56" i="4" s="1"/>
  <c r="H51" i="4"/>
  <c r="K51" i="4"/>
  <c r="M57" i="4" l="1"/>
  <c r="K52" i="4"/>
  <c r="K50" i="4" s="1"/>
  <c r="O52" i="4"/>
  <c r="I55" i="4"/>
  <c r="L55" i="4" s="1"/>
  <c r="M55" i="4" s="1"/>
  <c r="I54" i="4"/>
  <c r="L54" i="4" s="1"/>
  <c r="M54" i="4" s="1"/>
  <c r="I53" i="4"/>
  <c r="L53" i="4" s="1"/>
  <c r="M53" i="4" s="1"/>
  <c r="I51" i="4"/>
</calcChain>
</file>

<file path=xl/sharedStrings.xml><?xml version="1.0" encoding="utf-8"?>
<sst xmlns="http://schemas.openxmlformats.org/spreadsheetml/2006/main" count="142" uniqueCount="96">
  <si>
    <t>Z</t>
  </si>
  <si>
    <t>CGL</t>
  </si>
  <si>
    <t>Y/X</t>
  </si>
  <si>
    <t>X1</t>
  </si>
  <si>
    <t>X2</t>
  </si>
  <si>
    <t>X3</t>
  </si>
  <si>
    <t>X4</t>
  </si>
  <si>
    <t>Y1</t>
  </si>
  <si>
    <t>Y2</t>
  </si>
  <si>
    <t>Y3</t>
  </si>
  <si>
    <t>Y4</t>
  </si>
  <si>
    <t>Identification</t>
  </si>
  <si>
    <t>ANOVA</t>
  </si>
  <si>
    <t>Origine</t>
  </si>
  <si>
    <t>niveau</t>
  </si>
  <si>
    <t>CI</t>
  </si>
  <si>
    <t>SCE</t>
  </si>
  <si>
    <t>ddl</t>
  </si>
  <si>
    <t>CM</t>
  </si>
  <si>
    <t>Fobs</t>
  </si>
  <si>
    <t>F5%</t>
  </si>
  <si>
    <t>Total</t>
  </si>
  <si>
    <t>x</t>
  </si>
  <si>
    <t>factoriel</t>
  </si>
  <si>
    <t>résiduel</t>
  </si>
  <si>
    <t>R²</t>
  </si>
  <si>
    <t>X</t>
  </si>
  <si>
    <t>Y</t>
  </si>
  <si>
    <t>equivalence</t>
  </si>
  <si>
    <t>difference</t>
  </si>
  <si>
    <t>variance</t>
  </si>
  <si>
    <t>ecart relatif %</t>
  </si>
  <si>
    <t>Tolérance</t>
  </si>
  <si>
    <t>T +/-</t>
  </si>
  <si>
    <t>moyenne</t>
  </si>
  <si>
    <t xml:space="preserve"> </t>
  </si>
  <si>
    <t>R²ajusté</t>
  </si>
  <si>
    <t>T-</t>
  </si>
  <si>
    <t>T+</t>
  </si>
  <si>
    <t>IC- 99%</t>
  </si>
  <si>
    <t>IC+ 99%</t>
  </si>
  <si>
    <t>SB²</t>
  </si>
  <si>
    <t>Entre blocs</t>
  </si>
  <si>
    <t>Z1</t>
  </si>
  <si>
    <t>Z2</t>
  </si>
  <si>
    <t>Z3</t>
  </si>
  <si>
    <t>Z4</t>
  </si>
  <si>
    <t>X: axe X du moyen de mesure</t>
  </si>
  <si>
    <t>Y: axe Y du moyen de mesure</t>
  </si>
  <si>
    <t>taille : dimension en mm des 4 mesurandes répartis sur le domaine de mesure a valider</t>
  </si>
  <si>
    <t>pure : l'erreur pure est l'erreur de répétabilité</t>
  </si>
  <si>
    <t>résiduel: l'erreur résiduelle est la part d'erreur non expliquée par l'ANOVA</t>
  </si>
  <si>
    <t>factoriel: l'erreur factorielle est la part expliquée par le modèle</t>
  </si>
  <si>
    <t>Cochran: test vérifiant l'homogénéité des variances (si Cobs &lt; C5%)</t>
  </si>
  <si>
    <t>R² : coefficient de détermination ou pourcentage expliqué par le modèle</t>
  </si>
  <si>
    <t>un bloc correspond a l'ensemble des données d'un niveau, un niveau étant un "état" ou "une variation" d'un des 4 facteurs.</t>
  </si>
  <si>
    <t>Ex: le facteur "taille" varie de 4 niveaux (1, 5, 10 et 40). L'ensemble des résultats du niveaux "1" sont forme un bloc (rouge)</t>
  </si>
  <si>
    <t>la valeur de l'équivalence inter-blocs correspond au risque bêta, c'est à dire à la propotion commune entre les niveaux</t>
  </si>
  <si>
    <t xml:space="preserve">Plus ce risque bêta est élevé, plus les blocs sont équivalents  </t>
  </si>
  <si>
    <t>Equivalence inter-blocs</t>
  </si>
  <si>
    <t>Contribution</t>
  </si>
  <si>
    <t>la contribution correspond a la part de dispersion expliquée pour chaque facteur. Plus cette valeur est grande, plus le facteur</t>
  </si>
  <si>
    <t>est influent. Maitriser ce facteur permmettra a terme d'améliorer la dispersion, et donc la capabilité</t>
  </si>
  <si>
    <t>Linéarité d'un moyen de mesure tridimensionnel</t>
  </si>
  <si>
    <t>Si plan complet, le nombre d'essais est de :</t>
  </si>
  <si>
    <t>Si carré greco latin, le nombre d'essais est de :</t>
  </si>
  <si>
    <t>*hors repetition des observations</t>
  </si>
  <si>
    <t>Profil d'exactitude linéaire</t>
  </si>
  <si>
    <t xml:space="preserve">ce proifl represente graphiquement les biais en % de chaque observation et les intervalles de confiance a 99% par niveau. </t>
  </si>
  <si>
    <t>il donne un apercu graphique de la capabilité</t>
  </si>
  <si>
    <t>Regression linéaire</t>
  </si>
  <si>
    <t>autre representation possible, ce graphique presente l'intervalle de confiances a 99% des valeurs observées (violet)</t>
  </si>
  <si>
    <t xml:space="preserve">ainsi que prédites (bleu), équivalent de l'IC de la moyenne. Si cette dernière englobe la bissectrice (noir), </t>
  </si>
  <si>
    <t>alors l'absence de biais systématique et relatif est avéré (équivalent du test de Student sur la pente et 'ordonnée à l'origine)</t>
  </si>
  <si>
    <t>Student pente</t>
  </si>
  <si>
    <t>Student ordonnée</t>
  </si>
  <si>
    <t>T (1%)</t>
  </si>
  <si>
    <t>zoom</t>
  </si>
  <si>
    <t>largeur</t>
  </si>
  <si>
    <t>longeur</t>
  </si>
  <si>
    <t>hauteur</t>
  </si>
  <si>
    <t>coordonnée</t>
  </si>
  <si>
    <t>x46</t>
  </si>
  <si>
    <t>x256</t>
  </si>
  <si>
    <t>etalon</t>
  </si>
  <si>
    <t>ETALON CUBIQUE</t>
  </si>
  <si>
    <t>exemple pour la ligne de test Y1</t>
  </si>
  <si>
    <t>Cp</t>
  </si>
  <si>
    <t>cm</t>
  </si>
  <si>
    <t>Cpk</t>
  </si>
  <si>
    <t>espace de mesure</t>
  </si>
  <si>
    <t>contrib</t>
  </si>
  <si>
    <t>observation</t>
  </si>
  <si>
    <t>x119</t>
  </si>
  <si>
    <t>Z: axe Z  du moyen de mesure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</si>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</sst>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0.0%"/>
    <numFmt numFmtId="168" formatCode="0.00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theme="8"/>
      <name val="Arial"/>
      <family val="2"/>
    </font>
    <font>
      <b/>
      <sz val="10"/>
      <color theme="1"/>
      <name val="Arial"/>
      <family val="2"/>
    </font>
    <font>
      <sz val="10"/>
      <name val="Verdana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4">
    <xf numFmtId="0" fontId="0" fillId="0" borderId="0" xfId="0"/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horizontal="center" vertical="center" wrapText="1"/>
    </xf>
    <xf numFmtId="10" fontId="1" fillId="0" borderId="0" xfId="1" applyNumberFormat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1" fillId="9" borderId="0" xfId="1" applyFont="1" applyFill="1" applyBorder="1"/>
    <xf numFmtId="0" fontId="1" fillId="0" borderId="0" xfId="1" applyFont="1" applyFill="1" applyBorder="1" applyAlignment="1">
      <alignment horizontal="center"/>
    </xf>
    <xf numFmtId="0" fontId="1" fillId="9" borderId="0" xfId="1" applyFont="1" applyFill="1" applyBorder="1" applyAlignment="1">
      <alignment vertical="center"/>
    </xf>
    <xf numFmtId="10" fontId="1" fillId="9" borderId="1" xfId="1" applyNumberFormat="1" applyFont="1" applyFill="1" applyBorder="1" applyAlignment="1">
      <alignment horizontal="center" vertical="center"/>
    </xf>
    <xf numFmtId="0" fontId="1" fillId="9" borderId="0" xfId="1" applyFont="1" applyFill="1" applyBorder="1" applyAlignment="1">
      <alignment horizontal="center" vertical="center"/>
    </xf>
    <xf numFmtId="11" fontId="1" fillId="9" borderId="1" xfId="0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 applyProtection="1">
      <alignment horizontal="center" vertical="center"/>
      <protection hidden="1"/>
    </xf>
    <xf numFmtId="2" fontId="8" fillId="6" borderId="1" xfId="1" applyNumberFormat="1" applyFont="1" applyFill="1" applyBorder="1" applyAlignment="1" applyProtection="1">
      <alignment horizontal="center" vertical="center"/>
      <protection hidden="1"/>
    </xf>
    <xf numFmtId="2" fontId="7" fillId="10" borderId="1" xfId="1" applyNumberFormat="1" applyFont="1" applyFill="1" applyBorder="1" applyAlignment="1" applyProtection="1">
      <alignment horizontal="center" vertical="center"/>
      <protection hidden="1"/>
    </xf>
    <xf numFmtId="2" fontId="4" fillId="7" borderId="1" xfId="1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 applyProtection="1">
      <alignment horizontal="center" vertical="center"/>
      <protection hidden="1"/>
    </xf>
    <xf numFmtId="2" fontId="7" fillId="7" borderId="1" xfId="1" applyNumberFormat="1" applyFont="1" applyFill="1" applyBorder="1" applyAlignment="1" applyProtection="1">
      <alignment horizontal="center" vertical="center"/>
      <protection hidden="1"/>
    </xf>
    <xf numFmtId="2" fontId="8" fillId="4" borderId="1" xfId="1" applyNumberFormat="1" applyFont="1" applyFill="1" applyBorder="1" applyAlignment="1" applyProtection="1">
      <alignment horizontal="center" vertical="center"/>
      <protection hidden="1"/>
    </xf>
    <xf numFmtId="2" fontId="3" fillId="6" borderId="1" xfId="1" applyNumberFormat="1" applyFont="1" applyFill="1" applyBorder="1" applyAlignment="1" applyProtection="1">
      <alignment horizontal="center" vertical="center"/>
      <protection hidden="1"/>
    </xf>
    <xf numFmtId="2" fontId="7" fillId="6" borderId="1" xfId="1" applyNumberFormat="1" applyFont="1" applyFill="1" applyBorder="1" applyAlignment="1" applyProtection="1">
      <alignment horizontal="center" vertical="center"/>
      <protection hidden="1"/>
    </xf>
    <xf numFmtId="2" fontId="4" fillId="4" borderId="1" xfId="1" applyNumberFormat="1" applyFont="1" applyFill="1" applyBorder="1" applyAlignment="1" applyProtection="1">
      <alignment horizontal="center" vertical="center"/>
      <protection hidden="1"/>
    </xf>
    <xf numFmtId="2" fontId="3" fillId="7" borderId="1" xfId="1" applyNumberFormat="1" applyFont="1" applyFill="1" applyBorder="1" applyAlignment="1" applyProtection="1">
      <alignment horizontal="center" vertical="center"/>
      <protection hidden="1"/>
    </xf>
    <xf numFmtId="2" fontId="8" fillId="10" borderId="1" xfId="1" applyNumberFormat="1" applyFont="1" applyFill="1" applyBorder="1" applyAlignment="1" applyProtection="1">
      <alignment horizontal="center" vertical="center"/>
      <protection hidden="1"/>
    </xf>
    <xf numFmtId="2" fontId="8" fillId="7" borderId="1" xfId="1" applyNumberFormat="1" applyFont="1" applyFill="1" applyBorder="1" applyAlignment="1" applyProtection="1">
      <alignment horizontal="center" vertical="center"/>
      <protection hidden="1"/>
    </xf>
    <xf numFmtId="2" fontId="3" fillId="10" borderId="1" xfId="1" applyNumberFormat="1" applyFont="1" applyFill="1" applyBorder="1" applyAlignment="1" applyProtection="1">
      <alignment horizontal="center" vertical="center"/>
      <protection hidden="1"/>
    </xf>
    <xf numFmtId="2" fontId="4" fillId="6" borderId="1" xfId="1" applyNumberFormat="1" applyFont="1" applyFill="1" applyBorder="1" applyAlignment="1" applyProtection="1">
      <alignment horizontal="center" vertical="center"/>
      <protection hidden="1"/>
    </xf>
    <xf numFmtId="2" fontId="7" fillId="4" borderId="1" xfId="1" applyNumberFormat="1" applyFont="1" applyFill="1" applyBorder="1" applyAlignment="1" applyProtection="1">
      <alignment horizontal="center" vertical="center"/>
      <protection hidden="1"/>
    </xf>
    <xf numFmtId="165" fontId="1" fillId="0" borderId="0" xfId="1" applyNumberFormat="1" applyFont="1" applyFill="1" applyBorder="1" applyAlignment="1">
      <alignment vertical="center"/>
    </xf>
    <xf numFmtId="0" fontId="1" fillId="0" borderId="0" xfId="1" applyFont="1" applyBorder="1" applyAlignment="1">
      <alignment vertical="center"/>
    </xf>
    <xf numFmtId="11" fontId="1" fillId="0" borderId="0" xfId="1" applyNumberFormat="1" applyFont="1" applyFill="1" applyBorder="1" applyAlignment="1">
      <alignment horizontal="center" vertical="center"/>
    </xf>
    <xf numFmtId="165" fontId="1" fillId="0" borderId="0" xfId="1" applyNumberFormat="1" applyFont="1" applyFill="1" applyBorder="1" applyAlignment="1">
      <alignment horizontal="center" vertical="center"/>
    </xf>
    <xf numFmtId="10" fontId="1" fillId="9" borderId="5" xfId="1" applyNumberFormat="1" applyFont="1" applyFill="1" applyBorder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167" fontId="1" fillId="8" borderId="1" xfId="1" applyNumberFormat="1" applyFont="1" applyFill="1" applyBorder="1" applyAlignment="1">
      <alignment horizontal="center" vertical="center"/>
    </xf>
    <xf numFmtId="0" fontId="1" fillId="9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167" fontId="1" fillId="9" borderId="1" xfId="1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0" fontId="1" fillId="9" borderId="1" xfId="0" applyNumberFormat="1" applyFont="1" applyFill="1" applyBorder="1" applyAlignment="1">
      <alignment horizontal="center" vertical="center"/>
    </xf>
    <xf numFmtId="9" fontId="1" fillId="9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167" fontId="1" fillId="9" borderId="1" xfId="0" applyNumberFormat="1" applyFont="1" applyFill="1" applyBorder="1" applyAlignment="1">
      <alignment horizontal="center" vertical="center"/>
    </xf>
    <xf numFmtId="11" fontId="1" fillId="9" borderId="0" xfId="1" applyNumberFormat="1" applyFont="1" applyFill="1" applyBorder="1" applyAlignment="1">
      <alignment horizontal="center" vertical="center"/>
    </xf>
    <xf numFmtId="11" fontId="1" fillId="9" borderId="0" xfId="0" applyNumberFormat="1" applyFont="1" applyFill="1" applyBorder="1" applyAlignment="1">
      <alignment horizontal="center" vertical="center"/>
    </xf>
    <xf numFmtId="2" fontId="1" fillId="9" borderId="0" xfId="0" applyNumberFormat="1" applyFont="1" applyFill="1" applyBorder="1" applyAlignment="1">
      <alignment horizontal="center" vertical="center"/>
    </xf>
    <xf numFmtId="167" fontId="1" fillId="9" borderId="0" xfId="0" applyNumberFormat="1" applyFont="1" applyFill="1" applyBorder="1" applyAlignment="1">
      <alignment horizontal="center" vertical="center"/>
    </xf>
    <xf numFmtId="9" fontId="1" fillId="9" borderId="0" xfId="0" applyNumberFormat="1" applyFont="1" applyFill="1" applyBorder="1" applyAlignment="1">
      <alignment horizontal="center" vertical="center"/>
    </xf>
    <xf numFmtId="11" fontId="5" fillId="9" borderId="0" xfId="1" applyNumberFormat="1" applyFont="1" applyFill="1" applyBorder="1" applyAlignment="1">
      <alignment horizontal="left" vertical="center"/>
    </xf>
    <xf numFmtId="11" fontId="1" fillId="9" borderId="0" xfId="1" applyNumberFormat="1" applyFont="1" applyFill="1" applyBorder="1" applyAlignment="1">
      <alignment horizontal="left" vertical="center"/>
    </xf>
    <xf numFmtId="167" fontId="1" fillId="9" borderId="0" xfId="0" applyNumberFormat="1" applyFont="1" applyFill="1" applyBorder="1" applyAlignment="1">
      <alignment horizontal="left" vertical="center"/>
    </xf>
    <xf numFmtId="167" fontId="5" fillId="9" borderId="0" xfId="0" applyNumberFormat="1" applyFont="1" applyFill="1" applyBorder="1" applyAlignment="1">
      <alignment horizontal="left" vertical="center"/>
    </xf>
    <xf numFmtId="0" fontId="1" fillId="10" borderId="7" xfId="1" applyFont="1" applyFill="1" applyBorder="1" applyAlignment="1">
      <alignment vertical="center"/>
    </xf>
    <xf numFmtId="0" fontId="1" fillId="10" borderId="8" xfId="1" applyFont="1" applyFill="1" applyBorder="1" applyAlignment="1">
      <alignment vertical="center"/>
    </xf>
    <xf numFmtId="0" fontId="1" fillId="10" borderId="9" xfId="1" applyFont="1" applyFill="1" applyBorder="1" applyAlignment="1">
      <alignment vertical="center"/>
    </xf>
    <xf numFmtId="0" fontId="1" fillId="0" borderId="0" xfId="1" applyFont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1" fillId="0" borderId="0" xfId="1" applyFont="1" applyFill="1" applyAlignment="1">
      <alignment vertical="center"/>
    </xf>
    <xf numFmtId="10" fontId="6" fillId="0" borderId="0" xfId="1" applyNumberFormat="1" applyFont="1" applyFill="1" applyBorder="1" applyAlignment="1">
      <alignment horizontal="center" vertical="center"/>
    </xf>
    <xf numFmtId="10" fontId="6" fillId="0" borderId="0" xfId="1" applyNumberFormat="1" applyFont="1" applyFill="1" applyBorder="1" applyAlignment="1">
      <alignment vertical="center"/>
    </xf>
    <xf numFmtId="49" fontId="9" fillId="0" borderId="0" xfId="1" applyNumberFormat="1" applyFont="1" applyFill="1" applyBorder="1" applyAlignment="1">
      <alignment horizontal="right"/>
    </xf>
    <xf numFmtId="9" fontId="1" fillId="0" borderId="0" xfId="1" applyNumberFormat="1" applyFont="1" applyAlignment="1">
      <alignment horizontal="center" vertical="center"/>
    </xf>
    <xf numFmtId="0" fontId="10" fillId="0" borderId="0" xfId="1" applyFont="1" applyBorder="1" applyAlignment="1">
      <alignment vertical="center"/>
    </xf>
    <xf numFmtId="0" fontId="10" fillId="0" borderId="0" xfId="1" applyFont="1" applyAlignment="1">
      <alignment vertical="center"/>
    </xf>
    <xf numFmtId="10" fontId="10" fillId="0" borderId="0" xfId="1" applyNumberFormat="1" applyFont="1" applyAlignment="1">
      <alignment vertical="center"/>
    </xf>
    <xf numFmtId="11" fontId="1" fillId="0" borderId="0" xfId="1" applyNumberFormat="1" applyFont="1" applyAlignment="1">
      <alignment vertical="center"/>
    </xf>
    <xf numFmtId="0" fontId="1" fillId="0" borderId="0" xfId="1" applyFont="1" applyAlignment="1">
      <alignment horizontal="left" vertical="center"/>
    </xf>
    <xf numFmtId="0" fontId="1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9" fontId="1" fillId="0" borderId="0" xfId="1" applyNumberFormat="1" applyFont="1" applyAlignment="1">
      <alignment horizontal="left" vertical="center"/>
    </xf>
    <xf numFmtId="9" fontId="5" fillId="0" borderId="0" xfId="1" applyNumberFormat="1" applyFont="1" applyAlignment="1">
      <alignment horizontal="left" vertical="center"/>
    </xf>
    <xf numFmtId="0" fontId="11" fillId="0" borderId="0" xfId="1" applyFont="1" applyAlignment="1">
      <alignment vertical="center"/>
    </xf>
    <xf numFmtId="167" fontId="1" fillId="0" borderId="0" xfId="1" applyNumberFormat="1" applyFont="1" applyAlignment="1">
      <alignment horizontal="center" vertical="center"/>
    </xf>
    <xf numFmtId="0" fontId="2" fillId="9" borderId="0" xfId="1" applyFont="1" applyFill="1" applyBorder="1" applyAlignment="1"/>
    <xf numFmtId="49" fontId="9" fillId="9" borderId="0" xfId="1" applyNumberFormat="1" applyFont="1" applyFill="1" applyBorder="1" applyAlignment="1">
      <alignment horizontal="right"/>
    </xf>
    <xf numFmtId="166" fontId="1" fillId="0" borderId="0" xfId="1" applyNumberFormat="1" applyFont="1" applyAlignment="1">
      <alignment horizontal="left" vertical="center"/>
    </xf>
    <xf numFmtId="0" fontId="1" fillId="0" borderId="19" xfId="1" applyFont="1" applyBorder="1" applyAlignment="1">
      <alignment vertical="center"/>
    </xf>
    <xf numFmtId="49" fontId="9" fillId="0" borderId="0" xfId="1" applyNumberFormat="1" applyFont="1" applyFill="1" applyBorder="1" applyAlignment="1">
      <alignment horizontal="left"/>
    </xf>
    <xf numFmtId="9" fontId="1" fillId="0" borderId="19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164" fontId="10" fillId="9" borderId="0" xfId="1" applyNumberFormat="1" applyFont="1" applyFill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0" fontId="10" fillId="0" borderId="0" xfId="1" applyNumberFormat="1" applyFont="1" applyFill="1" applyBorder="1" applyAlignment="1">
      <alignment vertical="center"/>
    </xf>
    <xf numFmtId="0" fontId="1" fillId="12" borderId="1" xfId="1" applyFont="1" applyFill="1" applyBorder="1" applyAlignment="1">
      <alignment horizontal="center" vertical="center"/>
    </xf>
    <xf numFmtId="11" fontId="1" fillId="12" borderId="1" xfId="1" applyNumberFormat="1" applyFont="1" applyFill="1" applyBorder="1" applyAlignment="1">
      <alignment horizontal="center" vertical="center"/>
    </xf>
    <xf numFmtId="11" fontId="1" fillId="12" borderId="1" xfId="0" applyNumberFormat="1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 vertical="center"/>
    </xf>
    <xf numFmtId="167" fontId="1" fillId="12" borderId="1" xfId="0" applyNumberFormat="1" applyFont="1" applyFill="1" applyBorder="1" applyAlignment="1">
      <alignment horizontal="center" vertical="center"/>
    </xf>
    <xf numFmtId="9" fontId="1" fillId="12" borderId="1" xfId="0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168" fontId="1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9" borderId="0" xfId="1" applyFont="1" applyFill="1" applyAlignment="1">
      <alignment horizontal="left" vertical="center"/>
    </xf>
    <xf numFmtId="0" fontId="1" fillId="10" borderId="1" xfId="1" applyFont="1" applyFill="1" applyBorder="1" applyAlignment="1">
      <alignment horizontal="center" vertical="center"/>
    </xf>
    <xf numFmtId="2" fontId="6" fillId="0" borderId="0" xfId="1" applyNumberFormat="1" applyFont="1" applyBorder="1" applyAlignment="1">
      <alignment vertical="center"/>
    </xf>
    <xf numFmtId="0" fontId="6" fillId="0" borderId="0" xfId="1" applyFont="1" applyBorder="1" applyAlignment="1">
      <alignment horizontal="center" vertical="center"/>
    </xf>
    <xf numFmtId="10" fontId="6" fillId="0" borderId="0" xfId="1" applyNumberFormat="1" applyFont="1" applyBorder="1" applyAlignment="1">
      <alignment horizontal="center" vertical="center"/>
    </xf>
    <xf numFmtId="10" fontId="6" fillId="0" borderId="0" xfId="1" applyNumberFormat="1" applyFont="1" applyBorder="1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/>
    </xf>
    <xf numFmtId="0" fontId="1" fillId="0" borderId="0" xfId="1" applyFont="1" applyBorder="1"/>
    <xf numFmtId="0" fontId="1" fillId="0" borderId="0" xfId="1" applyFont="1" applyFill="1" applyBorder="1"/>
    <xf numFmtId="166" fontId="1" fillId="0" borderId="0" xfId="1" applyNumberFormat="1" applyFont="1" applyFill="1" applyBorder="1" applyAlignment="1">
      <alignment horizontal="center"/>
    </xf>
    <xf numFmtId="2" fontId="1" fillId="0" borderId="0" xfId="1" applyNumberFormat="1" applyFont="1" applyFill="1" applyBorder="1" applyAlignment="1">
      <alignment horizontal="center"/>
    </xf>
    <xf numFmtId="2" fontId="1" fillId="9" borderId="0" xfId="1" applyNumberFormat="1" applyFont="1" applyFill="1" applyBorder="1" applyAlignment="1">
      <alignment horizontal="center"/>
    </xf>
    <xf numFmtId="0" fontId="1" fillId="9" borderId="0" xfId="1" applyFont="1" applyFill="1" applyBorder="1" applyAlignment="1">
      <alignment horizontal="right"/>
    </xf>
    <xf numFmtId="2" fontId="1" fillId="0" borderId="0" xfId="1" applyNumberFormat="1" applyFont="1" applyFill="1" applyBorder="1" applyAlignment="1"/>
    <xf numFmtId="2" fontId="1" fillId="9" borderId="0" xfId="1" applyNumberFormat="1" applyFont="1" applyFill="1" applyBorder="1" applyAlignment="1"/>
    <xf numFmtId="2" fontId="1" fillId="0" borderId="1" xfId="1" applyNumberFormat="1" applyFont="1" applyBorder="1" applyAlignment="1">
      <alignment horizontal="left" vertical="center"/>
    </xf>
    <xf numFmtId="0" fontId="1" fillId="10" borderId="7" xfId="1" applyFont="1" applyFill="1" applyBorder="1" applyAlignment="1">
      <alignment horizontal="center" vertical="center"/>
    </xf>
    <xf numFmtId="0" fontId="1" fillId="10" borderId="8" xfId="1" applyFont="1" applyFill="1" applyBorder="1" applyAlignment="1">
      <alignment horizontal="center" vertical="center"/>
    </xf>
    <xf numFmtId="0" fontId="1" fillId="10" borderId="9" xfId="1" applyFont="1" applyFill="1" applyBorder="1" applyAlignment="1">
      <alignment horizontal="center" vertical="center"/>
    </xf>
    <xf numFmtId="0" fontId="1" fillId="9" borderId="4" xfId="1" applyFont="1" applyFill="1" applyBorder="1" applyAlignment="1">
      <alignment horizontal="center" vertical="center"/>
    </xf>
    <xf numFmtId="0" fontId="1" fillId="9" borderId="6" xfId="1" applyFont="1" applyFill="1" applyBorder="1" applyAlignment="1">
      <alignment horizontal="center" vertical="center"/>
    </xf>
    <xf numFmtId="0" fontId="1" fillId="9" borderId="3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10" fontId="6" fillId="0" borderId="20" xfId="1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" fillId="10" borderId="14" xfId="1" applyFont="1" applyFill="1" applyBorder="1" applyAlignment="1">
      <alignment horizontal="center" vertical="center"/>
    </xf>
    <xf numFmtId="0" fontId="1" fillId="10" borderId="16" xfId="1" applyFont="1" applyFill="1" applyBorder="1" applyAlignment="1">
      <alignment horizontal="center" vertical="center"/>
    </xf>
    <xf numFmtId="0" fontId="1" fillId="10" borderId="18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1" fillId="9" borderId="2" xfId="1" applyFont="1" applyFill="1" applyBorder="1" applyAlignment="1">
      <alignment horizontal="center" vertical="center"/>
    </xf>
    <xf numFmtId="0" fontId="1" fillId="9" borderId="17" xfId="1" applyFont="1" applyFill="1" applyBorder="1" applyAlignment="1">
      <alignment horizontal="center" vertical="center"/>
    </xf>
    <xf numFmtId="0" fontId="1" fillId="9" borderId="5" xfId="1" applyFont="1" applyFill="1" applyBorder="1" applyAlignment="1">
      <alignment horizontal="center" vertical="center"/>
    </xf>
    <xf numFmtId="0" fontId="2" fillId="10" borderId="0" xfId="1" applyFont="1" applyFill="1" applyBorder="1" applyAlignment="1">
      <alignment horizontal="center" vertical="center"/>
    </xf>
    <xf numFmtId="0" fontId="2" fillId="10" borderId="2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Profil d'exactitude</a:t>
            </a:r>
            <a:r>
              <a:rPr lang="fr-CH" baseline="0"/>
              <a:t> linéaire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256746386317605"/>
          <c:y val="0.16669836791207643"/>
          <c:w val="0.82277308119962411"/>
          <c:h val="0.6660407275012283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3D'!$AH$11:$AH$154</c:f>
              <c:numCache>
                <c:formatCode>0.00%</c:formatCode>
                <c:ptCount val="144"/>
                <c:pt idx="0">
                  <c:v>3.3337438653720186E-2</c:v>
                </c:pt>
                <c:pt idx="1">
                  <c:v>2.5895733656035258E-2</c:v>
                </c:pt>
                <c:pt idx="2">
                  <c:v>1.3896342714584176E-2</c:v>
                </c:pt>
                <c:pt idx="3">
                  <c:v>2.1975015830814071E-2</c:v>
                </c:pt>
                <c:pt idx="4">
                  <c:v>7.3439276543982857E-3</c:v>
                </c:pt>
                <c:pt idx="5">
                  <c:v>8.9765622674107037E-2</c:v>
                </c:pt>
                <c:pt idx="6">
                  <c:v>1.0337903069870924E-2</c:v>
                </c:pt>
                <c:pt idx="7">
                  <c:v>1.8313482481606691E-3</c:v>
                </c:pt>
                <c:pt idx="8">
                  <c:v>6.0307174599469882E-2</c:v>
                </c:pt>
                <c:pt idx="9">
                  <c:v>7.0145316629430576E-2</c:v>
                </c:pt>
                <c:pt idx="10">
                  <c:v>1.3618777736079446E-2</c:v>
                </c:pt>
                <c:pt idx="11">
                  <c:v>6.5743525092280652E-2</c:v>
                </c:pt>
                <c:pt idx="12">
                  <c:v>9.6014815408783871E-2</c:v>
                </c:pt>
                <c:pt idx="13">
                  <c:v>1.9873804208232704E-2</c:v>
                </c:pt>
                <c:pt idx="14">
                  <c:v>9.6073787572219072E-2</c:v>
                </c:pt>
                <c:pt idx="15">
                  <c:v>5.8763423454026631E-2</c:v>
                </c:pt>
                <c:pt idx="16">
                  <c:v>7.6778011458356499E-2</c:v>
                </c:pt>
                <c:pt idx="17">
                  <c:v>9.1217171815982656E-2</c:v>
                </c:pt>
                <c:pt idx="18">
                  <c:v>3.2573557416863075E-2</c:v>
                </c:pt>
                <c:pt idx="19">
                  <c:v>5.5460440991273119E-2</c:v>
                </c:pt>
                <c:pt idx="20">
                  <c:v>9.9983042814111966E-2</c:v>
                </c:pt>
                <c:pt idx="21">
                  <c:v>9.2990751304840025E-2</c:v>
                </c:pt>
                <c:pt idx="22">
                  <c:v>1.3550546130356445E-3</c:v>
                </c:pt>
                <c:pt idx="23">
                  <c:v>5.2672580177222761E-2</c:v>
                </c:pt>
                <c:pt idx="24">
                  <c:v>2.0432126669228889E-2</c:v>
                </c:pt>
                <c:pt idx="25">
                  <c:v>7.2262475987972419E-2</c:v>
                </c:pt>
                <c:pt idx="26">
                  <c:v>3.3663164494780462E-2</c:v>
                </c:pt>
                <c:pt idx="27">
                  <c:v>5.6695982837835945E-2</c:v>
                </c:pt>
                <c:pt idx="28">
                  <c:v>3.397275650045839E-2</c:v>
                </c:pt>
                <c:pt idx="29">
                  <c:v>5.8582210985536065E-5</c:v>
                </c:pt>
                <c:pt idx="30">
                  <c:v>4.696963491563988E-2</c:v>
                </c:pt>
                <c:pt idx="31">
                  <c:v>6.6704726123270941E-2</c:v>
                </c:pt>
                <c:pt idx="32">
                  <c:v>3.7780093433951834E-2</c:v>
                </c:pt>
                <c:pt idx="33">
                  <c:v>3.7832563044065015E-2</c:v>
                </c:pt>
                <c:pt idx="34">
                  <c:v>4.5588009156291243E-2</c:v>
                </c:pt>
                <c:pt idx="35">
                  <c:v>1.2591776084282191E-2</c:v>
                </c:pt>
                <c:pt idx="36">
                  <c:v>1.2314672139187355E-2</c:v>
                </c:pt>
                <c:pt idx="37">
                  <c:v>2.8416486735774127E-2</c:v>
                </c:pt>
                <c:pt idx="38">
                  <c:v>1.6925277234565161E-3</c:v>
                </c:pt>
                <c:pt idx="39">
                  <c:v>4.6638033239963184E-2</c:v>
                </c:pt>
                <c:pt idx="40">
                  <c:v>1.1299111499776249E-2</c:v>
                </c:pt>
                <c:pt idx="41">
                  <c:v>2.5362458470152172E-2</c:v>
                </c:pt>
                <c:pt idx="42">
                  <c:v>2.9435581975142844E-2</c:v>
                </c:pt>
                <c:pt idx="43">
                  <c:v>2.9211863335643073E-2</c:v>
                </c:pt>
                <c:pt idx="44">
                  <c:v>7.5849039530817564E-4</c:v>
                </c:pt>
                <c:pt idx="45">
                  <c:v>4.598759045175127E-2</c:v>
                </c:pt>
                <c:pt idx="46">
                  <c:v>1.7519538492629216E-2</c:v>
                </c:pt>
                <c:pt idx="47">
                  <c:v>2.9842016423390572E-2</c:v>
                </c:pt>
                <c:pt idx="48">
                  <c:v>3.4751252371905128E-2</c:v>
                </c:pt>
                <c:pt idx="49">
                  <c:v>1.5119272304753295E-4</c:v>
                </c:pt>
                <c:pt idx="50">
                  <c:v>3.3732839204046572E-2</c:v>
                </c:pt>
                <c:pt idx="51">
                  <c:v>4.8110855183265411E-3</c:v>
                </c:pt>
                <c:pt idx="52">
                  <c:v>4.1099131303985015E-2</c:v>
                </c:pt>
                <c:pt idx="53">
                  <c:v>2.7163235305436739E-2</c:v>
                </c:pt>
                <c:pt idx="54">
                  <c:v>3.9412327119900947E-3</c:v>
                </c:pt>
                <c:pt idx="55">
                  <c:v>3.3983456638042586E-2</c:v>
                </c:pt>
                <c:pt idx="56">
                  <c:v>2.5366750241045288E-2</c:v>
                </c:pt>
                <c:pt idx="57">
                  <c:v>8.8186372584386774E-3</c:v>
                </c:pt>
                <c:pt idx="58">
                  <c:v>2.2297405699376327E-3</c:v>
                </c:pt>
                <c:pt idx="59">
                  <c:v>2.5287359138889576E-2</c:v>
                </c:pt>
                <c:pt idx="60">
                  <c:v>2.6458094528547083E-2</c:v>
                </c:pt>
                <c:pt idx="61">
                  <c:v>2.6545971103396626E-2</c:v>
                </c:pt>
                <c:pt idx="62">
                  <c:v>2.574531210697617E-2</c:v>
                </c:pt>
                <c:pt idx="63">
                  <c:v>1.2627543146889852E-2</c:v>
                </c:pt>
                <c:pt idx="64">
                  <c:v>2.4079917283281738E-3</c:v>
                </c:pt>
                <c:pt idx="65">
                  <c:v>1.6082698260109218E-2</c:v>
                </c:pt>
                <c:pt idx="66">
                  <c:v>3.1459315013941946E-3</c:v>
                </c:pt>
                <c:pt idx="67">
                  <c:v>8.0281258878189821E-3</c:v>
                </c:pt>
                <c:pt idx="68">
                  <c:v>2.6650094324355944E-2</c:v>
                </c:pt>
                <c:pt idx="69">
                  <c:v>3.436662316697392E-2</c:v>
                </c:pt>
                <c:pt idx="70">
                  <c:v>1.5534925999787896E-2</c:v>
                </c:pt>
                <c:pt idx="71">
                  <c:v>2.8117800203509402E-2</c:v>
                </c:pt>
                <c:pt idx="72">
                  <c:v>2.8577416316211579E-2</c:v>
                </c:pt>
                <c:pt idx="73">
                  <c:v>3.1605427110412698E-3</c:v>
                </c:pt>
                <c:pt idx="74">
                  <c:v>3.0864415856013183E-2</c:v>
                </c:pt>
                <c:pt idx="75">
                  <c:v>7.9815143628085838E-3</c:v>
                </c:pt>
                <c:pt idx="76">
                  <c:v>2.0291843710551483E-3</c:v>
                </c:pt>
                <c:pt idx="77">
                  <c:v>1.682080717618839E-2</c:v>
                </c:pt>
                <c:pt idx="78">
                  <c:v>2.253234440695473E-2</c:v>
                </c:pt>
                <c:pt idx="79">
                  <c:v>1.9134484967676224E-2</c:v>
                </c:pt>
                <c:pt idx="80">
                  <c:v>2.7812703312342979E-2</c:v>
                </c:pt>
                <c:pt idx="81">
                  <c:v>9.7167780371951729E-3</c:v>
                </c:pt>
                <c:pt idx="82">
                  <c:v>1.3607062976408457E-2</c:v>
                </c:pt>
                <c:pt idx="83">
                  <c:v>2.6977720121477144E-2</c:v>
                </c:pt>
                <c:pt idx="84">
                  <c:v>1.5193336781910372E-2</c:v>
                </c:pt>
                <c:pt idx="85">
                  <c:v>2.8730142578865081E-2</c:v>
                </c:pt>
                <c:pt idx="86">
                  <c:v>2.022143635260476E-2</c:v>
                </c:pt>
                <c:pt idx="87">
                  <c:v>1.8038041000511651E-2</c:v>
                </c:pt>
                <c:pt idx="88">
                  <c:v>2.636063833449942E-3</c:v>
                </c:pt>
                <c:pt idx="89">
                  <c:v>1.8474232259484413E-3</c:v>
                </c:pt>
                <c:pt idx="90">
                  <c:v>8.2669161993709217E-4</c:v>
                </c:pt>
                <c:pt idx="91">
                  <c:v>2.610475972745907E-2</c:v>
                </c:pt>
                <c:pt idx="92">
                  <c:v>3.8759124489553543E-3</c:v>
                </c:pt>
                <c:pt idx="93">
                  <c:v>3.2145187713517265E-2</c:v>
                </c:pt>
                <c:pt idx="94">
                  <c:v>1.1874720471025668E-2</c:v>
                </c:pt>
                <c:pt idx="95">
                  <c:v>1.8219153379251507E-2</c:v>
                </c:pt>
                <c:pt idx="96">
                  <c:v>2.2203701017297073E-2</c:v>
                </c:pt>
                <c:pt idx="97">
                  <c:v>2.8305507097472038E-2</c:v>
                </c:pt>
                <c:pt idx="98">
                  <c:v>1.2865976226342779E-2</c:v>
                </c:pt>
                <c:pt idx="99">
                  <c:v>1.1361044790987984E-2</c:v>
                </c:pt>
                <c:pt idx="100">
                  <c:v>9.3254024885536246E-4</c:v>
                </c:pt>
                <c:pt idx="101">
                  <c:v>2.3112863159399977E-2</c:v>
                </c:pt>
                <c:pt idx="102">
                  <c:v>2.7170107366013996E-2</c:v>
                </c:pt>
                <c:pt idx="103">
                  <c:v>1.3482926903016779E-3</c:v>
                </c:pt>
                <c:pt idx="104">
                  <c:v>2.7949226488885426E-2</c:v>
                </c:pt>
                <c:pt idx="105">
                  <c:v>2.7634299989907074E-3</c:v>
                </c:pt>
                <c:pt idx="106">
                  <c:v>2.3904375804533196E-3</c:v>
                </c:pt>
                <c:pt idx="107">
                  <c:v>1.5338509369953623E-2</c:v>
                </c:pt>
                <c:pt idx="108">
                  <c:v>1.1061441073434874E-2</c:v>
                </c:pt>
                <c:pt idx="109">
                  <c:v>1.2262729716859821E-2</c:v>
                </c:pt>
                <c:pt idx="110">
                  <c:v>1.2779274873282453E-3</c:v>
                </c:pt>
                <c:pt idx="111">
                  <c:v>1.7458942045070369E-2</c:v>
                </c:pt>
                <c:pt idx="112">
                  <c:v>1.63738728912044E-2</c:v>
                </c:pt>
                <c:pt idx="113">
                  <c:v>6.6321250249972152E-3</c:v>
                </c:pt>
                <c:pt idx="114">
                  <c:v>1.3512434344333135E-2</c:v>
                </c:pt>
                <c:pt idx="115">
                  <c:v>5.4019293290821224E-3</c:v>
                </c:pt>
                <c:pt idx="116">
                  <c:v>1.5702311629923082E-2</c:v>
                </c:pt>
                <c:pt idx="117">
                  <c:v>3.1959088127164748E-4</c:v>
                </c:pt>
                <c:pt idx="118">
                  <c:v>2.0755010325952394E-2</c:v>
                </c:pt>
                <c:pt idx="119">
                  <c:v>9.8290481485663328E-3</c:v>
                </c:pt>
                <c:pt idx="120">
                  <c:v>1.9484245146348611E-2</c:v>
                </c:pt>
                <c:pt idx="121">
                  <c:v>1.3142916813504879E-2</c:v>
                </c:pt>
                <c:pt idx="122">
                  <c:v>1.8198882472197031E-2</c:v>
                </c:pt>
                <c:pt idx="123">
                  <c:v>2.3410839638628556E-2</c:v>
                </c:pt>
                <c:pt idx="124">
                  <c:v>1.806723204551397E-2</c:v>
                </c:pt>
                <c:pt idx="125">
                  <c:v>5.2410641774063293E-3</c:v>
                </c:pt>
                <c:pt idx="126">
                  <c:v>2.1404720428081614E-2</c:v>
                </c:pt>
                <c:pt idx="127">
                  <c:v>5.9449083108837897E-3</c:v>
                </c:pt>
                <c:pt idx="128">
                  <c:v>2.0331609545979124E-2</c:v>
                </c:pt>
                <c:pt idx="129">
                  <c:v>1.9517548508119598E-2</c:v>
                </c:pt>
                <c:pt idx="130">
                  <c:v>7.4678797820757481E-3</c:v>
                </c:pt>
                <c:pt idx="131">
                  <c:v>1.6559895249900425E-2</c:v>
                </c:pt>
                <c:pt idx="132">
                  <c:v>4.114055227123492E-3</c:v>
                </c:pt>
                <c:pt idx="133">
                  <c:v>1.0766143411274687E-2</c:v>
                </c:pt>
                <c:pt idx="134">
                  <c:v>2.2941502017257642E-2</c:v>
                </c:pt>
                <c:pt idx="135">
                  <c:v>1.8562536383268435E-2</c:v>
                </c:pt>
                <c:pt idx="136">
                  <c:v>1.0891159815987983E-2</c:v>
                </c:pt>
                <c:pt idx="137">
                  <c:v>4.0605428301097035E-3</c:v>
                </c:pt>
                <c:pt idx="138">
                  <c:v>1.0454709685077557E-2</c:v>
                </c:pt>
                <c:pt idx="139">
                  <c:v>8.6893831633880758E-3</c:v>
                </c:pt>
                <c:pt idx="140">
                  <c:v>2.1437368375577526E-2</c:v>
                </c:pt>
                <c:pt idx="141">
                  <c:v>2.3041397855275259E-2</c:v>
                </c:pt>
                <c:pt idx="142">
                  <c:v>1.4730411142628075E-2</c:v>
                </c:pt>
                <c:pt idx="143">
                  <c:v>9.5255457113363473E-3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E-4D79-8D37-4748E65B8F74}"/>
            </c:ext>
          </c:extLst>
        </c:ser>
        <c:ser>
          <c:idx val="1"/>
          <c:order val="1"/>
          <c:tx>
            <c:v>moyenne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3D'!$AI$13:$AI$154</c:f>
              <c:numCache>
                <c:formatCode>General</c:formatCode>
                <c:ptCount val="142"/>
                <c:pt idx="0" formatCode="0.00%">
                  <c:v>4.5902957201462834E-2</c:v>
                </c:pt>
                <c:pt idx="36" formatCode="0.00%">
                  <c:v>2.0709038772926489E-2</c:v>
                </c:pt>
                <c:pt idx="72" formatCode="0.00%">
                  <c:v>1.568526332732675E-2</c:v>
                </c:pt>
                <c:pt idx="108" formatCode="0.00%">
                  <c:v>1.3293718350971337E-2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7E-4D79-8D37-4748E65B8F74}"/>
            </c:ext>
          </c:extLst>
        </c:ser>
        <c:ser>
          <c:idx val="2"/>
          <c:order val="2"/>
          <c:tx>
            <c:v>IC+ 99%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3D'!$AL$13:$AL$125</c:f>
              <c:numCache>
                <c:formatCode>General</c:formatCode>
                <c:ptCount val="113"/>
                <c:pt idx="0" formatCode="0.00%">
                  <c:v>0.125630942848725</c:v>
                </c:pt>
                <c:pt idx="36" formatCode="0.00%">
                  <c:v>5.6149804028367903E-2</c:v>
                </c:pt>
                <c:pt idx="72" formatCode="0.00%">
                  <c:v>4.3377841385711713E-2</c:v>
                </c:pt>
                <c:pt idx="108" formatCode="0.00%">
                  <c:v>3.0781314636152135E-2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7E-4D79-8D37-4748E65B8F74}"/>
            </c:ext>
          </c:extLst>
        </c:ser>
        <c:ser>
          <c:idx val="3"/>
          <c:order val="3"/>
          <c:tx>
            <c:v>IC- 99%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3D'!$AK$13:$AK$149</c:f>
              <c:numCache>
                <c:formatCode>General</c:formatCode>
                <c:ptCount val="137"/>
                <c:pt idx="0" formatCode="0.00%">
                  <c:v>-3.3825028445799328E-2</c:v>
                </c:pt>
                <c:pt idx="36" formatCode="0.00%">
                  <c:v>-1.4731726482514921E-2</c:v>
                </c:pt>
                <c:pt idx="72" formatCode="0.00%">
                  <c:v>-1.2007314731058212E-2</c:v>
                </c:pt>
                <c:pt idx="108" formatCode="0.00%">
                  <c:v>-4.1938779342094636E-3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7E-4D79-8D37-4748E65B8F74}"/>
            </c:ext>
          </c:extLst>
        </c:ser>
        <c:ser>
          <c:idx val="4"/>
          <c:order val="4"/>
          <c:tx>
            <c:v>T+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3D'!$AM$13:$AM$147</c:f>
              <c:numCache>
                <c:formatCode>General</c:formatCode>
                <c:ptCount val="135"/>
                <c:pt idx="0" formatCode="0.00%">
                  <c:v>-0.11</c:v>
                </c:pt>
                <c:pt idx="36" formatCode="0.00%">
                  <c:v>-0.11</c:v>
                </c:pt>
                <c:pt idx="72" formatCode="0.00%">
                  <c:v>-0.11</c:v>
                </c:pt>
                <c:pt idx="108" formatCode="0.00%">
                  <c:v>-0.11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D7E-4D79-8D37-4748E65B8F74}"/>
            </c:ext>
          </c:extLst>
        </c:ser>
        <c:ser>
          <c:idx val="5"/>
          <c:order val="5"/>
          <c:tx>
            <c:v>T-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3D'!$AN$13:$AN$147</c:f>
              <c:numCache>
                <c:formatCode>General</c:formatCode>
                <c:ptCount val="135"/>
                <c:pt idx="0" formatCode="0.00%">
                  <c:v>0.11</c:v>
                </c:pt>
                <c:pt idx="36" formatCode="0.00%">
                  <c:v>0.11</c:v>
                </c:pt>
                <c:pt idx="72" formatCode="0.00%">
                  <c:v>0.11</c:v>
                </c:pt>
                <c:pt idx="108" formatCode="0.00%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D7E-4D79-8D37-4748E65B8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320"/>
        <c:axId val="136692344"/>
      </c:scatterChart>
      <c:valAx>
        <c:axId val="845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niveau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692344"/>
        <c:crosses val="autoZero"/>
        <c:crossBetween val="midCat"/>
      </c:valAx>
      <c:valAx>
        <c:axId val="13669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écart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523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0268040729764685"/>
          <c:y val="0.88774717345535359"/>
          <c:w val="0.77622528401182955"/>
          <c:h val="0.11002616700370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et Equivalence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947096391319256E-2"/>
          <c:y val="0.10184459361886418"/>
          <c:w val="0.92839934107797795"/>
          <c:h val="0.835718637085064"/>
        </c:manualLayout>
      </c:layout>
      <c:bar3DChart>
        <c:barDir val="col"/>
        <c:grouping val="clustered"/>
        <c:varyColors val="0"/>
        <c:ser>
          <c:idx val="1"/>
          <c:order val="0"/>
          <c:tx>
            <c:v>équivalence inter-blocs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'Validation mesure 3D'!$B$53:$B$57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etalon</c:v>
                </c:pt>
                <c:pt idx="4">
                  <c:v>zoom</c:v>
                </c:pt>
              </c:strCache>
            </c:strRef>
          </c:cat>
          <c:val>
            <c:numRef>
              <c:f>'Validation mesure 3D'!$L$53:$L$57</c:f>
              <c:numCache>
                <c:formatCode>0%</c:formatCode>
                <c:ptCount val="5"/>
                <c:pt idx="0">
                  <c:v>0.99978675744679235</c:v>
                </c:pt>
                <c:pt idx="1">
                  <c:v>0.99999999925677685</c:v>
                </c:pt>
                <c:pt idx="2">
                  <c:v>0.99999795937278546</c:v>
                </c:pt>
                <c:pt idx="3">
                  <c:v>4.4544095322734401E-2</c:v>
                </c:pt>
                <c:pt idx="4">
                  <c:v>0.74000976310137667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C-4845-9AC9-7EF6E3FEB9E3}"/>
            </c:ext>
          </c:extLst>
        </c:ser>
        <c:ser>
          <c:idx val="0"/>
          <c:order val="1"/>
          <c:tx>
            <c:v>contribution à la dispersion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'Validation mesure 3D'!$B$53:$B$57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etalon</c:v>
                </c:pt>
                <c:pt idx="4">
                  <c:v>zoom</c:v>
                </c:pt>
              </c:strCache>
            </c:strRef>
          </c:cat>
          <c:val>
            <c:numRef>
              <c:f>'Validation mesure 3D'!$K$53:$K$57</c:f>
              <c:numCache>
                <c:formatCode>0.0%</c:formatCode>
                <c:ptCount val="5"/>
                <c:pt idx="0">
                  <c:v>5.4306559801635453E-3</c:v>
                </c:pt>
                <c:pt idx="1">
                  <c:v>2.1015152374985182E-3</c:v>
                </c:pt>
                <c:pt idx="2">
                  <c:v>3.4943519263692371E-3</c:v>
                </c:pt>
                <c:pt idx="3">
                  <c:v>0.35274932479639004</c:v>
                </c:pt>
                <c:pt idx="4">
                  <c:v>2.5404642424995634E-2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C-4845-9AC9-7EF6E3FEB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698616"/>
        <c:axId val="136699008"/>
        <c:axId val="0"/>
      </c:bar3DChart>
      <c:catAx>
        <c:axId val="13669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699008"/>
        <c:crosses val="autoZero"/>
        <c:auto val="1"/>
        <c:lblAlgn val="ctr"/>
        <c:lblOffset val="100"/>
        <c:noMultiLvlLbl val="0"/>
      </c:catAx>
      <c:valAx>
        <c:axId val="1366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69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504547420267467E-2"/>
          <c:y val="0.81560112277631958"/>
          <c:w val="0.2557665959788193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fr-FR" sz="1400">
                <a:latin typeface="+mn-lt"/>
              </a:rPr>
              <a:t>Regression linéaire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438969799653457E-2"/>
          <c:y val="0.13506072867892857"/>
          <c:w val="0.89042123264549577"/>
          <c:h val="0.64265033593677712"/>
        </c:manualLayout>
      </c:layout>
      <c:scatterChart>
        <c:scatterStyle val="lineMarker"/>
        <c:varyColors val="0"/>
        <c:ser>
          <c:idx val="0"/>
          <c:order val="0"/>
          <c:tx>
            <c:v>observation</c:v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6999270633832101"/>
                  <c:y val="4.680120354272920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000" baseline="0"/>
                      <a:t>y = 1.0011x + 0.4679</a:t>
                    </a:r>
                    <a:br>
                      <a:rPr lang="en-US" sz="1000" baseline="0"/>
                    </a:br>
                    <a:r>
                      <a:rPr lang="en-US" sz="1000" baseline="0"/>
                      <a:t>R² = 0.9994</a:t>
                    </a:r>
                    <a:endParaRPr lang="en-US" sz="1000"/>
                  </a:p>
                </c:rich>
              </c:tx>
              <c:numFmt formatCode="General" sourceLinked="0"/>
            </c:trendlineLbl>
          </c:trendline>
          <c:xVal>
            <c:numRef>
              <c:f>'Validation mesure 3D'!$AG$11:$AG$154</c:f>
              <c:numCache>
                <c:formatCode>General</c:formatCode>
                <c:ptCount val="1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</c:numCache>
            </c:numRef>
          </c:xVal>
          <c:yVal>
            <c:numRef>
              <c:f>'Validation mesure 3D'!$AF$11:$AF$154</c:f>
              <c:numCache>
                <c:formatCode>0.00</c:formatCode>
                <c:ptCount val="144"/>
                <c:pt idx="0">
                  <c:v>10.333374386537201</c:v>
                </c:pt>
                <c:pt idx="1">
                  <c:v>10.258957336560352</c:v>
                </c:pt>
                <c:pt idx="2">
                  <c:v>10.138963427145841</c:v>
                </c:pt>
                <c:pt idx="3">
                  <c:v>10.96014815408784</c:v>
                </c:pt>
                <c:pt idx="4">
                  <c:v>10.198738042082327</c:v>
                </c:pt>
                <c:pt idx="5">
                  <c:v>10.960737875722192</c:v>
                </c:pt>
                <c:pt idx="6">
                  <c:v>10.204321266692288</c:v>
                </c:pt>
                <c:pt idx="7">
                  <c:v>10.722624759879725</c:v>
                </c:pt>
                <c:pt idx="8">
                  <c:v>10.336631644947804</c:v>
                </c:pt>
                <c:pt idx="9">
                  <c:v>10.219750158308141</c:v>
                </c:pt>
                <c:pt idx="10">
                  <c:v>10.073439276543983</c:v>
                </c:pt>
                <c:pt idx="11">
                  <c:v>10.89765622674107</c:v>
                </c:pt>
                <c:pt idx="12">
                  <c:v>10.587634234540266</c:v>
                </c:pt>
                <c:pt idx="13">
                  <c:v>10.767780114583564</c:v>
                </c:pt>
                <c:pt idx="14">
                  <c:v>10.912171718159826</c:v>
                </c:pt>
                <c:pt idx="15">
                  <c:v>10.566959828378359</c:v>
                </c:pt>
                <c:pt idx="16">
                  <c:v>10.339727565004583</c:v>
                </c:pt>
                <c:pt idx="17">
                  <c:v>10.000585822109855</c:v>
                </c:pt>
                <c:pt idx="18">
                  <c:v>10.10337903069871</c:v>
                </c:pt>
                <c:pt idx="19">
                  <c:v>10.018313482481606</c:v>
                </c:pt>
                <c:pt idx="20">
                  <c:v>10.603071745994699</c:v>
                </c:pt>
                <c:pt idx="21">
                  <c:v>10.325735574168631</c:v>
                </c:pt>
                <c:pt idx="22">
                  <c:v>10.554604409912731</c:v>
                </c:pt>
                <c:pt idx="23">
                  <c:v>10.99983042814112</c:v>
                </c:pt>
                <c:pt idx="24">
                  <c:v>10.469696349156399</c:v>
                </c:pt>
                <c:pt idx="25">
                  <c:v>10.667047261232709</c:v>
                </c:pt>
                <c:pt idx="26">
                  <c:v>10.377800934339518</c:v>
                </c:pt>
                <c:pt idx="27">
                  <c:v>10.701453166294305</c:v>
                </c:pt>
                <c:pt idx="28">
                  <c:v>10.136187777360794</c:v>
                </c:pt>
                <c:pt idx="29">
                  <c:v>10.657435250922806</c:v>
                </c:pt>
                <c:pt idx="30">
                  <c:v>10.9299075130484</c:v>
                </c:pt>
                <c:pt idx="31">
                  <c:v>10.013550546130357</c:v>
                </c:pt>
                <c:pt idx="32">
                  <c:v>10.526725801772228</c:v>
                </c:pt>
                <c:pt idx="33">
                  <c:v>10.378325630440649</c:v>
                </c:pt>
                <c:pt idx="34">
                  <c:v>10.455880091562912</c:v>
                </c:pt>
                <c:pt idx="35">
                  <c:v>10.125917760842823</c:v>
                </c:pt>
                <c:pt idx="36">
                  <c:v>20.246293442783749</c:v>
                </c:pt>
                <c:pt idx="37">
                  <c:v>20.568329734715483</c:v>
                </c:pt>
                <c:pt idx="38">
                  <c:v>20.033850554469129</c:v>
                </c:pt>
                <c:pt idx="39">
                  <c:v>20.52916189057094</c:v>
                </c:pt>
                <c:pt idx="40">
                  <c:v>20.530919422067932</c:v>
                </c:pt>
                <c:pt idx="41">
                  <c:v>20.514906242139524</c:v>
                </c:pt>
                <c:pt idx="42">
                  <c:v>20.695025047438101</c:v>
                </c:pt>
                <c:pt idx="43">
                  <c:v>20.003023854460952</c:v>
                </c:pt>
                <c:pt idx="44">
                  <c:v>20.674656784080931</c:v>
                </c:pt>
                <c:pt idx="45">
                  <c:v>20.932760664799265</c:v>
                </c:pt>
                <c:pt idx="46">
                  <c:v>20.225982229995527</c:v>
                </c:pt>
                <c:pt idx="47">
                  <c:v>20.507249169403043</c:v>
                </c:pt>
                <c:pt idx="48">
                  <c:v>20.588711639502858</c:v>
                </c:pt>
                <c:pt idx="49">
                  <c:v>20.584237266712861</c:v>
                </c:pt>
                <c:pt idx="50">
                  <c:v>20.015169807906162</c:v>
                </c:pt>
                <c:pt idx="51">
                  <c:v>20.919751809035027</c:v>
                </c:pt>
                <c:pt idx="52">
                  <c:v>20.350390769852584</c:v>
                </c:pt>
                <c:pt idx="53">
                  <c:v>20.59684032846781</c:v>
                </c:pt>
                <c:pt idx="54">
                  <c:v>20.096221710366532</c:v>
                </c:pt>
                <c:pt idx="55">
                  <c:v>20.821982626079702</c:v>
                </c:pt>
                <c:pt idx="56">
                  <c:v>20.543264706108733</c:v>
                </c:pt>
                <c:pt idx="57">
                  <c:v>20.078824654239803</c:v>
                </c:pt>
                <c:pt idx="58">
                  <c:v>20.679669132760854</c:v>
                </c:pt>
                <c:pt idx="59">
                  <c:v>20.507335004820906</c:v>
                </c:pt>
                <c:pt idx="60">
                  <c:v>20.176372745168774</c:v>
                </c:pt>
                <c:pt idx="61">
                  <c:v>20.044594811398753</c:v>
                </c:pt>
                <c:pt idx="62">
                  <c:v>20.505747182777792</c:v>
                </c:pt>
                <c:pt idx="63">
                  <c:v>20.252550862937799</c:v>
                </c:pt>
                <c:pt idx="64">
                  <c:v>20.048159834566562</c:v>
                </c:pt>
                <c:pt idx="65">
                  <c:v>20.321653965202184</c:v>
                </c:pt>
                <c:pt idx="66">
                  <c:v>20.062918630027884</c:v>
                </c:pt>
                <c:pt idx="67">
                  <c:v>20.160562517756379</c:v>
                </c:pt>
                <c:pt idx="68">
                  <c:v>20.533001886487121</c:v>
                </c:pt>
                <c:pt idx="69">
                  <c:v>20.68733246333948</c:v>
                </c:pt>
                <c:pt idx="70">
                  <c:v>20.310698519995757</c:v>
                </c:pt>
                <c:pt idx="71">
                  <c:v>20.562356004070189</c:v>
                </c:pt>
                <c:pt idx="72">
                  <c:v>30.857322489486346</c:v>
                </c:pt>
                <c:pt idx="73">
                  <c:v>30.094816281331241</c:v>
                </c:pt>
                <c:pt idx="74">
                  <c:v>30.925932475680398</c:v>
                </c:pt>
                <c:pt idx="75">
                  <c:v>30.455800103457314</c:v>
                </c:pt>
                <c:pt idx="76">
                  <c:v>30.861904277365955</c:v>
                </c:pt>
                <c:pt idx="77">
                  <c:v>30.606643090578142</c:v>
                </c:pt>
                <c:pt idx="78">
                  <c:v>30.666111030518913</c:v>
                </c:pt>
                <c:pt idx="79">
                  <c:v>30.849165212924159</c:v>
                </c:pt>
                <c:pt idx="80">
                  <c:v>30.385979286790281</c:v>
                </c:pt>
                <c:pt idx="81">
                  <c:v>30.291503341115853</c:v>
                </c:pt>
                <c:pt idx="82">
                  <c:v>30.408211889292254</c:v>
                </c:pt>
                <c:pt idx="83">
                  <c:v>30.809331603644317</c:v>
                </c:pt>
                <c:pt idx="84">
                  <c:v>30.964355631405521</c:v>
                </c:pt>
                <c:pt idx="85">
                  <c:v>30.35624161413077</c:v>
                </c:pt>
                <c:pt idx="86">
                  <c:v>30.546574601377543</c:v>
                </c:pt>
                <c:pt idx="87">
                  <c:v>30.082902899969724</c:v>
                </c:pt>
                <c:pt idx="88">
                  <c:v>30.071713127413599</c:v>
                </c:pt>
                <c:pt idx="89">
                  <c:v>30.460155281098608</c:v>
                </c:pt>
                <c:pt idx="90">
                  <c:v>30.675970332208639</c:v>
                </c:pt>
                <c:pt idx="91">
                  <c:v>30.574034549030284</c:v>
                </c:pt>
                <c:pt idx="92">
                  <c:v>30.83438109937029</c:v>
                </c:pt>
                <c:pt idx="93">
                  <c:v>30.024800748598111</c:v>
                </c:pt>
                <c:pt idx="94">
                  <c:v>30.783142791823771</c:v>
                </c:pt>
                <c:pt idx="95">
                  <c:v>30.116277373468662</c:v>
                </c:pt>
                <c:pt idx="96">
                  <c:v>30.815103220980419</c:v>
                </c:pt>
                <c:pt idx="97">
                  <c:v>30.040448780709049</c:v>
                </c:pt>
                <c:pt idx="98">
                  <c:v>30.838476794666565</c:v>
                </c:pt>
                <c:pt idx="99">
                  <c:v>30.239445430884256</c:v>
                </c:pt>
                <c:pt idx="100">
                  <c:v>30.060875531131657</c:v>
                </c:pt>
                <c:pt idx="101">
                  <c:v>30.504624215285652</c:v>
                </c:pt>
                <c:pt idx="102">
                  <c:v>30.541141230015352</c:v>
                </c:pt>
                <c:pt idx="103">
                  <c:v>30.079081915003499</c:v>
                </c:pt>
                <c:pt idx="104">
                  <c:v>30.05542269677845</c:v>
                </c:pt>
                <c:pt idx="105">
                  <c:v>30.34083134372964</c:v>
                </c:pt>
                <c:pt idx="106">
                  <c:v>30.02797620746566</c:v>
                </c:pt>
                <c:pt idx="107">
                  <c:v>30.693385894782001</c:v>
                </c:pt>
                <c:pt idx="108">
                  <c:v>40.442457642937391</c:v>
                </c:pt>
                <c:pt idx="109">
                  <c:v>40.490509188674395</c:v>
                </c:pt>
                <c:pt idx="110">
                  <c:v>40.051117099493133</c:v>
                </c:pt>
                <c:pt idx="111">
                  <c:v>40.698357681802818</c:v>
                </c:pt>
                <c:pt idx="112">
                  <c:v>40.654954915648176</c:v>
                </c:pt>
                <c:pt idx="113">
                  <c:v>40.265285000999889</c:v>
                </c:pt>
                <c:pt idx="114">
                  <c:v>40.540497373773327</c:v>
                </c:pt>
                <c:pt idx="115">
                  <c:v>40.216077173163285</c:v>
                </c:pt>
                <c:pt idx="116">
                  <c:v>40.628092465196922</c:v>
                </c:pt>
                <c:pt idx="117">
                  <c:v>40.012783635250862</c:v>
                </c:pt>
                <c:pt idx="118">
                  <c:v>40.830200413038092</c:v>
                </c:pt>
                <c:pt idx="119">
                  <c:v>40.39316192594265</c:v>
                </c:pt>
                <c:pt idx="120">
                  <c:v>40.779369805853946</c:v>
                </c:pt>
                <c:pt idx="121">
                  <c:v>40.525716672540199</c:v>
                </c:pt>
                <c:pt idx="122">
                  <c:v>40.727955298887878</c:v>
                </c:pt>
                <c:pt idx="123">
                  <c:v>40.936433585545146</c:v>
                </c:pt>
                <c:pt idx="124">
                  <c:v>40.722689281820557</c:v>
                </c:pt>
                <c:pt idx="125">
                  <c:v>40.209642567096253</c:v>
                </c:pt>
                <c:pt idx="126">
                  <c:v>40.856188817123261</c:v>
                </c:pt>
                <c:pt idx="127">
                  <c:v>40.237796332435352</c:v>
                </c:pt>
                <c:pt idx="128">
                  <c:v>40.813264381839168</c:v>
                </c:pt>
                <c:pt idx="129">
                  <c:v>40.780701940324782</c:v>
                </c:pt>
                <c:pt idx="130">
                  <c:v>40.29871519128303</c:v>
                </c:pt>
                <c:pt idx="131">
                  <c:v>40.662395809996013</c:v>
                </c:pt>
                <c:pt idx="132">
                  <c:v>40.164562209084941</c:v>
                </c:pt>
                <c:pt idx="133">
                  <c:v>40.430645736450991</c:v>
                </c:pt>
                <c:pt idx="134">
                  <c:v>40.917660080690304</c:v>
                </c:pt>
                <c:pt idx="135">
                  <c:v>40.742501455330739</c:v>
                </c:pt>
                <c:pt idx="136">
                  <c:v>40.435646392639519</c:v>
                </c:pt>
                <c:pt idx="137">
                  <c:v>40.162421713204388</c:v>
                </c:pt>
                <c:pt idx="138">
                  <c:v>40.418188387403106</c:v>
                </c:pt>
                <c:pt idx="139">
                  <c:v>40.347575326535519</c:v>
                </c:pt>
                <c:pt idx="140">
                  <c:v>40.857494735023103</c:v>
                </c:pt>
                <c:pt idx="141">
                  <c:v>40.921655914211009</c:v>
                </c:pt>
                <c:pt idx="142">
                  <c:v>40.589216445705119</c:v>
                </c:pt>
                <c:pt idx="143">
                  <c:v>40.381021828453456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9-46C2-B785-00F7520C1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8224"/>
        <c:axId val="136699792"/>
      </c:scatterChart>
      <c:scatterChart>
        <c:scatterStyle val="smoothMarker"/>
        <c:varyColors val="0"/>
        <c:ser>
          <c:idx val="5"/>
          <c:order val="1"/>
          <c:tx>
            <c:v>bissectrice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'Validation mesure 3D'!$AB$97:$AC$97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'Validation mesure 3D'!$AB$98:$AC$98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69-46C2-B785-00F7520C1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8224"/>
        <c:axId val="136699792"/>
      </c:scatterChart>
      <c:valAx>
        <c:axId val="136698224"/>
        <c:scaling>
          <c:orientation val="minMax"/>
        </c:scaling>
        <c:delete val="0"/>
        <c:axPos val="b"/>
        <c:majorGridlines/>
        <c:numFmt formatCode="#,##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fr-FR"/>
          </a:p>
        </c:txPr>
        <c:crossAx val="136699792"/>
        <c:crosses val="autoZero"/>
        <c:crossBetween val="midCat"/>
      </c:valAx>
      <c:valAx>
        <c:axId val="136699792"/>
        <c:scaling>
          <c:orientation val="minMax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fr-FR"/>
          </a:p>
        </c:txPr>
        <c:crossAx val="1366982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txPr>
        <a:bodyPr/>
        <a:lstStyle/>
        <a:p>
          <a:pPr>
            <a:defRPr sz="700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97491</xdr:colOff>
      <xdr:row>27</xdr:row>
      <xdr:rowOff>31376</xdr:rowOff>
    </xdr:from>
    <xdr:to>
      <xdr:col>22</xdr:col>
      <xdr:colOff>221316</xdr:colOff>
      <xdr:row>28</xdr:row>
      <xdr:rowOff>2800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041466" y="4041401"/>
          <a:ext cx="123825" cy="133349"/>
        </a:xfrm>
        <a:prstGeom prst="rect">
          <a:avLst/>
        </a:prstGeom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</xdr:col>
      <xdr:colOff>79244</xdr:colOff>
      <xdr:row>59</xdr:row>
      <xdr:rowOff>89647</xdr:rowOff>
    </xdr:from>
    <xdr:to>
      <xdr:col>11</xdr:col>
      <xdr:colOff>340178</xdr:colOff>
      <xdr:row>80</xdr:row>
      <xdr:rowOff>81643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396208</xdr:colOff>
      <xdr:row>59</xdr:row>
      <xdr:rowOff>94767</xdr:rowOff>
    </xdr:from>
    <xdr:to>
      <xdr:col>20</xdr:col>
      <xdr:colOff>122464</xdr:colOff>
      <xdr:row>84</xdr:row>
      <xdr:rowOff>108858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204107</xdr:colOff>
      <xdr:row>59</xdr:row>
      <xdr:rowOff>53191</xdr:rowOff>
    </xdr:from>
    <xdr:to>
      <xdr:col>28</xdr:col>
      <xdr:colOff>1050225</xdr:colOff>
      <xdr:row>80</xdr:row>
      <xdr:rowOff>81643</xdr:rowOff>
    </xdr:to>
    <xdr:graphicFrame macro="">
      <xdr:nvGraphicFramePr>
        <xdr:cNvPr id="31" name="Chart 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789215</xdr:colOff>
      <xdr:row>28</xdr:row>
      <xdr:rowOff>108858</xdr:rowOff>
    </xdr:from>
    <xdr:to>
      <xdr:col>26</xdr:col>
      <xdr:colOff>40822</xdr:colOff>
      <xdr:row>56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3294179" y="5007429"/>
          <a:ext cx="5021036" cy="4463142"/>
        </a:xfrm>
        <a:prstGeom prst="rect">
          <a:avLst/>
        </a:prstGeom>
        <a:solidFill>
          <a:schemeClr val="accent6">
            <a:lumMod val="40000"/>
            <a:lumOff val="60000"/>
            <a:alpha val="65000"/>
          </a:schemeClr>
        </a:solidFill>
        <a:effectLst>
          <a:glow>
            <a:schemeClr val="accent1">
              <a:lumMod val="20000"/>
              <a:lumOff val="80000"/>
            </a:schemeClr>
          </a:glow>
          <a:reflection stA="45000" endPos="0" dist="50800" dir="5400000" sy="-100000" algn="bl" rotWithShape="0"/>
        </a:effectLst>
        <a:scene3d>
          <a:camera prst="isometricOffAxis2Left"/>
          <a:lightRig rig="threePt" dir="t"/>
        </a:scene3d>
        <a:sp3d extrusionH="76200" contourW="12700">
          <a:bevelT w="12700" h="5715000"/>
          <a:extrusionClr>
            <a:schemeClr val="bg1"/>
          </a:extrusionClr>
          <a:contourClr>
            <a:schemeClr val="bg1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19</xdr:col>
      <xdr:colOff>272143</xdr:colOff>
      <xdr:row>43</xdr:row>
      <xdr:rowOff>27215</xdr:rowOff>
    </xdr:from>
    <xdr:to>
      <xdr:col>22</xdr:col>
      <xdr:colOff>530679</xdr:colOff>
      <xdr:row>53</xdr:row>
      <xdr:rowOff>0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13593536" y="7375072"/>
          <a:ext cx="2490107" cy="1605642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499382</xdr:colOff>
      <xdr:row>43</xdr:row>
      <xdr:rowOff>42182</xdr:rowOff>
    </xdr:from>
    <xdr:to>
      <xdr:col>28</xdr:col>
      <xdr:colOff>791308</xdr:colOff>
      <xdr:row>47</xdr:row>
      <xdr:rowOff>73269</xdr:rowOff>
    </xdr:to>
    <xdr:cxnSp macro="">
      <xdr:nvCxnSpPr>
        <xdr:cNvPr id="41" name="Connecteur droi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15951863" y="7281182"/>
          <a:ext cx="4534214" cy="675856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298174</xdr:colOff>
      <xdr:row>18</xdr:row>
      <xdr:rowOff>8283</xdr:rowOff>
    </xdr:from>
    <xdr:to>
      <xdr:col>2</xdr:col>
      <xdr:colOff>488674</xdr:colOff>
      <xdr:row>19</xdr:row>
      <xdr:rowOff>8282</xdr:rowOff>
    </xdr:to>
    <xdr:sp macro="" textlink="">
      <xdr:nvSpPr>
        <xdr:cNvPr id="50" name="Flèche vers le bas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416326" y="3238500"/>
          <a:ext cx="190500" cy="16565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3</xdr:col>
      <xdr:colOff>189673</xdr:colOff>
      <xdr:row>17</xdr:row>
      <xdr:rowOff>7455</xdr:rowOff>
    </xdr:from>
    <xdr:to>
      <xdr:col>3</xdr:col>
      <xdr:colOff>372718</xdr:colOff>
      <xdr:row>18</xdr:row>
      <xdr:rowOff>8283</xdr:rowOff>
    </xdr:to>
    <xdr:sp macro="" textlink="">
      <xdr:nvSpPr>
        <xdr:cNvPr id="51" name="Flèche vers le bas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rot="16200000">
          <a:off x="2061543" y="3063737"/>
          <a:ext cx="166480" cy="1830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21</xdr:col>
      <xdr:colOff>80040</xdr:colOff>
      <xdr:row>44</xdr:row>
      <xdr:rowOff>115582</xdr:rowOff>
    </xdr:from>
    <xdr:to>
      <xdr:col>24</xdr:col>
      <xdr:colOff>357627</xdr:colOff>
      <xdr:row>54</xdr:row>
      <xdr:rowOff>58432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14804569" y="7388200"/>
          <a:ext cx="2518764" cy="15116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9525</xdr:colOff>
      <xdr:row>38</xdr:row>
      <xdr:rowOff>9524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3875" y="6115050"/>
          <a:ext cx="7810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325213</xdr:colOff>
      <xdr:row>46</xdr:row>
      <xdr:rowOff>111579</xdr:rowOff>
    </xdr:from>
    <xdr:to>
      <xdr:col>27</xdr:col>
      <xdr:colOff>639536</xdr:colOff>
      <xdr:row>51</xdr:row>
      <xdr:rowOff>13606</xdr:rowOff>
    </xdr:to>
    <xdr:cxnSp macro="">
      <xdr:nvCxnSpPr>
        <xdr:cNvPr id="25" name="Connecteur droi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 flipV="1">
          <a:off x="15170606" y="7949293"/>
          <a:ext cx="4505323" cy="7184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232681</xdr:colOff>
      <xdr:row>34</xdr:row>
      <xdr:rowOff>122464</xdr:rowOff>
    </xdr:from>
    <xdr:to>
      <xdr:col>22</xdr:col>
      <xdr:colOff>489857</xdr:colOff>
      <xdr:row>44</xdr:row>
      <xdr:rowOff>108857</xdr:rowOff>
    </xdr:to>
    <xdr:cxnSp macro="">
      <xdr:nvCxnSpPr>
        <xdr:cNvPr id="26" name="Connecteur droi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3554074" y="6000750"/>
          <a:ext cx="2488747" cy="1619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202986</xdr:colOff>
      <xdr:row>26</xdr:row>
      <xdr:rowOff>86444</xdr:rowOff>
    </xdr:from>
    <xdr:to>
      <xdr:col>22</xdr:col>
      <xdr:colOff>491458</xdr:colOff>
      <xdr:row>36</xdr:row>
      <xdr:rowOff>57870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414721" y="4535179"/>
          <a:ext cx="2507237" cy="1540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724461</xdr:colOff>
      <xdr:row>26</xdr:row>
      <xdr:rowOff>40821</xdr:rowOff>
    </xdr:from>
    <xdr:ext cx="311880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3129373" y="4489556"/>
          <a:ext cx="311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z4</a:t>
          </a:r>
        </a:p>
      </xdr:txBody>
    </xdr:sp>
    <xdr:clientData/>
  </xdr:oneCellAnchor>
  <xdr:oneCellAnchor>
    <xdr:from>
      <xdr:col>18</xdr:col>
      <xdr:colOff>728224</xdr:colOff>
      <xdr:row>35</xdr:row>
      <xdr:rowOff>93649</xdr:rowOff>
    </xdr:from>
    <xdr:ext cx="311880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3133136" y="5954325"/>
          <a:ext cx="311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z3</a:t>
          </a:r>
        </a:p>
      </xdr:txBody>
    </xdr:sp>
    <xdr:clientData/>
  </xdr:oneCellAnchor>
  <xdr:oneCellAnchor>
    <xdr:from>
      <xdr:col>18</xdr:col>
      <xdr:colOff>738709</xdr:colOff>
      <xdr:row>44</xdr:row>
      <xdr:rowOff>6803</xdr:rowOff>
    </xdr:from>
    <xdr:ext cx="311880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3143621" y="7279421"/>
          <a:ext cx="311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z2</a:t>
          </a:r>
        </a:p>
      </xdr:txBody>
    </xdr:sp>
    <xdr:clientData/>
  </xdr:oneCellAnchor>
  <xdr:oneCellAnchor>
    <xdr:from>
      <xdr:col>18</xdr:col>
      <xdr:colOff>727424</xdr:colOff>
      <xdr:row>52</xdr:row>
      <xdr:rowOff>9524</xdr:rowOff>
    </xdr:from>
    <xdr:ext cx="311880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3132336" y="8537200"/>
          <a:ext cx="311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z1</a:t>
          </a:r>
        </a:p>
      </xdr:txBody>
    </xdr:sp>
    <xdr:clientData/>
  </xdr:oneCellAnchor>
  <xdr:oneCellAnchor>
    <xdr:from>
      <xdr:col>19</xdr:col>
      <xdr:colOff>24078</xdr:colOff>
      <xdr:row>53</xdr:row>
      <xdr:rowOff>16151</xdr:rowOff>
    </xdr:from>
    <xdr:ext cx="317266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3301100" y="9093890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x1</a:t>
          </a:r>
        </a:p>
      </xdr:txBody>
    </xdr:sp>
    <xdr:clientData/>
  </xdr:oneCellAnchor>
  <xdr:oneCellAnchor>
    <xdr:from>
      <xdr:col>20</xdr:col>
      <xdr:colOff>592620</xdr:colOff>
      <xdr:row>54</xdr:row>
      <xdr:rowOff>73006</xdr:rowOff>
    </xdr:from>
    <xdr:ext cx="317266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4615077" y="9316397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x2</a:t>
          </a:r>
        </a:p>
      </xdr:txBody>
    </xdr:sp>
    <xdr:clientData/>
  </xdr:oneCellAnchor>
  <xdr:oneCellAnchor>
    <xdr:from>
      <xdr:col>22</xdr:col>
      <xdr:colOff>593863</xdr:colOff>
      <xdr:row>55</xdr:row>
      <xdr:rowOff>129564</xdr:rowOff>
    </xdr:from>
    <xdr:ext cx="317266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6090624" y="9538607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ysClr val="windowText" lastClr="000000"/>
              </a:solidFill>
            </a:rPr>
            <a:t>x3</a:t>
          </a:r>
        </a:p>
      </xdr:txBody>
    </xdr:sp>
    <xdr:clientData/>
  </xdr:oneCellAnchor>
  <xdr:oneCellAnchor>
    <xdr:from>
      <xdr:col>24</xdr:col>
      <xdr:colOff>596833</xdr:colOff>
      <xdr:row>56</xdr:row>
      <xdr:rowOff>161280</xdr:rowOff>
    </xdr:from>
    <xdr:ext cx="317266" cy="264560"/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7625876" y="9735976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ysClr val="windowText" lastClr="000000"/>
              </a:solidFill>
            </a:rPr>
            <a:t>x4</a:t>
          </a:r>
        </a:p>
      </xdr:txBody>
    </xdr:sp>
    <xdr:clientData/>
  </xdr:oneCellAnchor>
  <xdr:oneCellAnchor>
    <xdr:from>
      <xdr:col>28</xdr:col>
      <xdr:colOff>713402</xdr:colOff>
      <xdr:row>47</xdr:row>
      <xdr:rowOff>51765</xdr:rowOff>
    </xdr:from>
    <xdr:ext cx="320024" cy="264560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0442576" y="8135591"/>
          <a:ext cx="3200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y1</a:t>
          </a:r>
        </a:p>
      </xdr:txBody>
    </xdr:sp>
    <xdr:clientData/>
  </xdr:oneCellAnchor>
  <xdr:oneCellAnchor>
    <xdr:from>
      <xdr:col>27</xdr:col>
      <xdr:colOff>610723</xdr:colOff>
      <xdr:row>50</xdr:row>
      <xdr:rowOff>138615</xdr:rowOff>
    </xdr:from>
    <xdr:ext cx="320024" cy="264560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9577897" y="8719398"/>
          <a:ext cx="3200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y2</a:t>
          </a:r>
        </a:p>
      </xdr:txBody>
    </xdr:sp>
    <xdr:clientData/>
  </xdr:oneCellAnchor>
  <xdr:oneCellAnchor>
    <xdr:from>
      <xdr:col>26</xdr:col>
      <xdr:colOff>557733</xdr:colOff>
      <xdr:row>54</xdr:row>
      <xdr:rowOff>1361</xdr:rowOff>
    </xdr:from>
    <xdr:ext cx="320024" cy="264560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8832126" y="9172575"/>
          <a:ext cx="3200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y3</a:t>
          </a:r>
        </a:p>
      </xdr:txBody>
    </xdr:sp>
    <xdr:clientData/>
  </xdr:oneCellAnchor>
  <xdr:oneCellAnchor>
    <xdr:from>
      <xdr:col>25</xdr:col>
      <xdr:colOff>337457</xdr:colOff>
      <xdr:row>56</xdr:row>
      <xdr:rowOff>92688</xdr:rowOff>
    </xdr:from>
    <xdr:ext cx="320024" cy="264560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8149207" y="9590474"/>
          <a:ext cx="3200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y4</a:t>
          </a:r>
        </a:p>
      </xdr:txBody>
    </xdr:sp>
    <xdr:clientData/>
  </xdr:oneCellAnchor>
  <xdr:twoCellAnchor>
    <xdr:from>
      <xdr:col>28</xdr:col>
      <xdr:colOff>568458</xdr:colOff>
      <xdr:row>46</xdr:row>
      <xdr:rowOff>141695</xdr:rowOff>
    </xdr:from>
    <xdr:to>
      <xdr:col>28</xdr:col>
      <xdr:colOff>682758</xdr:colOff>
      <xdr:row>47</xdr:row>
      <xdr:rowOff>117428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245987" y="7728077"/>
          <a:ext cx="114300" cy="132616"/>
        </a:xfrm>
        <a:prstGeom prst="rect">
          <a:avLst/>
        </a:prstGeom>
        <a:solidFill>
          <a:srgbClr val="7030A0"/>
        </a:solidFill>
        <a:scene3d>
          <a:camera prst="isometricOffAxis2Left"/>
          <a:lightRig rig="threePt" dir="t"/>
        </a:scene3d>
        <a:sp3d>
          <a:bevelT w="12700" h="2095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..</a:t>
          </a:r>
        </a:p>
      </xdr:txBody>
    </xdr:sp>
    <xdr:clientData/>
  </xdr:twoCellAnchor>
  <xdr:twoCellAnchor>
    <xdr:from>
      <xdr:col>20</xdr:col>
      <xdr:colOff>287112</xdr:colOff>
      <xdr:row>50</xdr:row>
      <xdr:rowOff>5443</xdr:rowOff>
    </xdr:from>
    <xdr:to>
      <xdr:col>26</xdr:col>
      <xdr:colOff>587828</xdr:colOff>
      <xdr:row>54</xdr:row>
      <xdr:rowOff>70756</xdr:rowOff>
    </xdr:to>
    <xdr:cxnSp macro="">
      <xdr:nvCxnSpPr>
        <xdr:cNvPr id="53" name="Connecteur droit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H="1" flipV="1">
          <a:off x="14356898" y="8496300"/>
          <a:ext cx="4505323" cy="7184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43543</xdr:colOff>
      <xdr:row>46</xdr:row>
      <xdr:rowOff>19051</xdr:rowOff>
    </xdr:from>
    <xdr:to>
      <xdr:col>26</xdr:col>
      <xdr:colOff>606879</xdr:colOff>
      <xdr:row>55</xdr:row>
      <xdr:rowOff>125186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16358507" y="7856765"/>
          <a:ext cx="2522765" cy="15757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498982</xdr:colOff>
      <xdr:row>26</xdr:row>
      <xdr:rowOff>93169</xdr:rowOff>
    </xdr:from>
    <xdr:to>
      <xdr:col>28</xdr:col>
      <xdr:colOff>809225</xdr:colOff>
      <xdr:row>31</xdr:row>
      <xdr:rowOff>63233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 flipV="1">
          <a:off x="15929482" y="4541904"/>
          <a:ext cx="4557272" cy="7544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508907</xdr:colOff>
      <xdr:row>34</xdr:row>
      <xdr:rowOff>141514</xdr:rowOff>
    </xdr:from>
    <xdr:to>
      <xdr:col>28</xdr:col>
      <xdr:colOff>819150</xdr:colOff>
      <xdr:row>39</xdr:row>
      <xdr:rowOff>111579</xdr:rowOff>
    </xdr:to>
    <xdr:cxnSp macro="">
      <xdr:nvCxnSpPr>
        <xdr:cNvPr id="56" name="Connecteur droi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 flipV="1">
          <a:off x="16061871" y="6019800"/>
          <a:ext cx="4555672" cy="7864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392206</xdr:colOff>
      <xdr:row>18</xdr:row>
      <xdr:rowOff>134471</xdr:rowOff>
    </xdr:from>
    <xdr:to>
      <xdr:col>24</xdr:col>
      <xdr:colOff>401834</xdr:colOff>
      <xdr:row>44</xdr:row>
      <xdr:rowOff>86148</xdr:rowOff>
    </xdr:to>
    <xdr:cxnSp macro="">
      <xdr:nvCxnSpPr>
        <xdr:cNvPr id="57" name="Connecteur droi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 flipV="1">
          <a:off x="17357912" y="3328147"/>
          <a:ext cx="9628" cy="40306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573388</xdr:colOff>
      <xdr:row>20</xdr:row>
      <xdr:rowOff>26083</xdr:rowOff>
    </xdr:from>
    <xdr:to>
      <xdr:col>26</xdr:col>
      <xdr:colOff>588549</xdr:colOff>
      <xdr:row>45</xdr:row>
      <xdr:rowOff>75291</xdr:rowOff>
    </xdr:to>
    <xdr:cxnSp macro="">
      <xdr:nvCxnSpPr>
        <xdr:cNvPr id="58" name="Connecteur droi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H="1" flipV="1">
          <a:off x="18726917" y="3533524"/>
          <a:ext cx="15161" cy="39712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512884</xdr:colOff>
      <xdr:row>17</xdr:row>
      <xdr:rowOff>102577</xdr:rowOff>
    </xdr:from>
    <xdr:to>
      <xdr:col>22</xdr:col>
      <xdr:colOff>536498</xdr:colOff>
      <xdr:row>43</xdr:row>
      <xdr:rowOff>45975</xdr:rowOff>
    </xdr:to>
    <xdr:cxnSp macro="">
      <xdr:nvCxnSpPr>
        <xdr:cNvPr id="59" name="Connecteur droi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H="1" flipV="1">
          <a:off x="15965365" y="3121269"/>
          <a:ext cx="23614" cy="41637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336417</xdr:colOff>
      <xdr:row>34</xdr:row>
      <xdr:rowOff>39222</xdr:rowOff>
    </xdr:from>
    <xdr:to>
      <xdr:col>22</xdr:col>
      <xdr:colOff>574542</xdr:colOff>
      <xdr:row>35</xdr:row>
      <xdr:rowOff>96372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5766917" y="5743016"/>
          <a:ext cx="238125" cy="214032"/>
        </a:xfrm>
        <a:prstGeom prst="rect">
          <a:avLst/>
        </a:prstGeom>
        <a:solidFill>
          <a:srgbClr val="FF0000"/>
        </a:solidFill>
        <a:scene3d>
          <a:camera prst="isometricOffAxis2Left"/>
          <a:lightRig rig="threePt" dir="t"/>
        </a:scene3d>
        <a:sp3d>
          <a:bevelT w="12700" h="3746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21</xdr:col>
      <xdr:colOff>299542</xdr:colOff>
      <xdr:row>20</xdr:row>
      <xdr:rowOff>118093</xdr:rowOff>
    </xdr:from>
    <xdr:to>
      <xdr:col>21</xdr:col>
      <xdr:colOff>323156</xdr:colOff>
      <xdr:row>46</xdr:row>
      <xdr:rowOff>95109</xdr:rowOff>
    </xdr:to>
    <xdr:cxnSp macro="">
      <xdr:nvCxnSpPr>
        <xdr:cNvPr id="60" name="Connecteur droi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 flipV="1">
          <a:off x="15024071" y="3625534"/>
          <a:ext cx="23614" cy="40559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239029</xdr:colOff>
      <xdr:row>24</xdr:row>
      <xdr:rowOff>12757</xdr:rowOff>
    </xdr:from>
    <xdr:to>
      <xdr:col>20</xdr:col>
      <xdr:colOff>262643</xdr:colOff>
      <xdr:row>49</xdr:row>
      <xdr:rowOff>146656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H="1" flipV="1">
          <a:off x="14190353" y="4147728"/>
          <a:ext cx="23614" cy="40559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216593</xdr:colOff>
      <xdr:row>29</xdr:row>
      <xdr:rowOff>137212</xdr:rowOff>
    </xdr:from>
    <xdr:to>
      <xdr:col>21</xdr:col>
      <xdr:colOff>330893</xdr:colOff>
      <xdr:row>30</xdr:row>
      <xdr:rowOff>112945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4941122" y="5056594"/>
          <a:ext cx="114300" cy="132616"/>
        </a:xfrm>
        <a:prstGeom prst="rect">
          <a:avLst/>
        </a:prstGeom>
        <a:solidFill>
          <a:srgbClr val="7030A0"/>
        </a:solidFill>
        <a:scene3d>
          <a:camera prst="isometricOffAxis2Left"/>
          <a:lightRig rig="threePt" dir="t"/>
        </a:scene3d>
        <a:sp3d>
          <a:bevelT w="12700" h="2095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..</a:t>
          </a:r>
        </a:p>
      </xdr:txBody>
    </xdr:sp>
    <xdr:clientData/>
  </xdr:twoCellAnchor>
  <xdr:twoCellAnchor>
    <xdr:from>
      <xdr:col>22</xdr:col>
      <xdr:colOff>693425</xdr:colOff>
      <xdr:row>46</xdr:row>
      <xdr:rowOff>135825</xdr:rowOff>
    </xdr:from>
    <xdr:to>
      <xdr:col>23</xdr:col>
      <xdr:colOff>297457</xdr:colOff>
      <xdr:row>48</xdr:row>
      <xdr:rowOff>145350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6123925" y="7722207"/>
          <a:ext cx="366032" cy="323290"/>
        </a:xfrm>
        <a:prstGeom prst="rect">
          <a:avLst/>
        </a:prstGeom>
        <a:solidFill>
          <a:schemeClr val="accent1"/>
        </a:solidFill>
        <a:scene3d>
          <a:camera prst="isometricOffAxis2Left"/>
          <a:lightRig rig="threePt" dir="t"/>
        </a:scene3d>
        <a:sp3d>
          <a:bevelT w="12700" h="4953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25</xdr:col>
      <xdr:colOff>252373</xdr:colOff>
      <xdr:row>42</xdr:row>
      <xdr:rowOff>123825</xdr:rowOff>
    </xdr:from>
    <xdr:to>
      <xdr:col>25</xdr:col>
      <xdr:colOff>266700</xdr:colOff>
      <xdr:row>49</xdr:row>
      <xdr:rowOff>37193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V="1">
          <a:off x="17968873" y="7239000"/>
          <a:ext cx="14327" cy="1046843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268941</xdr:colOff>
      <xdr:row>38</xdr:row>
      <xdr:rowOff>33617</xdr:rowOff>
    </xdr:from>
    <xdr:to>
      <xdr:col>25</xdr:col>
      <xdr:colOff>123264</xdr:colOff>
      <xdr:row>40</xdr:row>
      <xdr:rowOff>145677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 flipH="1" flipV="1">
          <a:off x="14993470" y="6364941"/>
          <a:ext cx="2812676" cy="425824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600075</xdr:colOff>
      <xdr:row>25</xdr:row>
      <xdr:rowOff>142875</xdr:rowOff>
    </xdr:from>
    <xdr:to>
      <xdr:col>27</xdr:col>
      <xdr:colOff>633373</xdr:colOff>
      <xdr:row>51</xdr:row>
      <xdr:rowOff>18144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 flipV="1">
          <a:off x="19545300" y="4505325"/>
          <a:ext cx="33298" cy="4085319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322170</xdr:colOff>
      <xdr:row>20</xdr:row>
      <xdr:rowOff>96370</xdr:rowOff>
    </xdr:from>
    <xdr:to>
      <xdr:col>27</xdr:col>
      <xdr:colOff>627530</xdr:colOff>
      <xdr:row>25</xdr:row>
      <xdr:rowOff>11206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15046699" y="3603811"/>
          <a:ext cx="4496360" cy="699248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195541</xdr:colOff>
      <xdr:row>25</xdr:row>
      <xdr:rowOff>124387</xdr:rowOff>
    </xdr:from>
    <xdr:to>
      <xdr:col>27</xdr:col>
      <xdr:colOff>433666</xdr:colOff>
      <xdr:row>27</xdr:row>
      <xdr:rowOff>24653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9111070" y="4416240"/>
          <a:ext cx="238125" cy="214031"/>
        </a:xfrm>
        <a:prstGeom prst="rect">
          <a:avLst/>
        </a:prstGeom>
        <a:solidFill>
          <a:srgbClr val="FF0000"/>
        </a:solidFill>
        <a:scene3d>
          <a:camera prst="isometricOffAxis2Left"/>
          <a:lightRig rig="threePt" dir="t"/>
        </a:scene3d>
        <a:sp3d>
          <a:bevelT w="12700" h="3746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25</xdr:col>
      <xdr:colOff>280147</xdr:colOff>
      <xdr:row>38</xdr:row>
      <xdr:rowOff>54389</xdr:rowOff>
    </xdr:from>
    <xdr:to>
      <xdr:col>26</xdr:col>
      <xdr:colOff>694835</xdr:colOff>
      <xdr:row>41</xdr:row>
      <xdr:rowOff>134470</xdr:rowOff>
    </xdr:to>
    <xdr:cxnSp macro="">
      <xdr:nvCxnSpPr>
        <xdr:cNvPr id="82" name="Connecteur droit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 flipH="1">
          <a:off x="17963029" y="6385713"/>
          <a:ext cx="885335" cy="550728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655544</xdr:colOff>
      <xdr:row>21</xdr:row>
      <xdr:rowOff>74559</xdr:rowOff>
    </xdr:from>
    <xdr:to>
      <xdr:col>28</xdr:col>
      <xdr:colOff>740219</xdr:colOff>
      <xdr:row>24</xdr:row>
      <xdr:rowOff>142314</xdr:rowOff>
    </xdr:to>
    <xdr:cxnSp macro="">
      <xdr:nvCxnSpPr>
        <xdr:cNvPr id="84" name="Connecteur droit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H="1">
          <a:off x="19571073" y="3738883"/>
          <a:ext cx="846675" cy="538402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248684</xdr:colOff>
      <xdr:row>41</xdr:row>
      <xdr:rowOff>112919</xdr:rowOff>
    </xdr:from>
    <xdr:to>
      <xdr:col>22</xdr:col>
      <xdr:colOff>123265</xdr:colOff>
      <xdr:row>43</xdr:row>
      <xdr:rowOff>22412</xdr:rowOff>
    </xdr:to>
    <xdr:cxnSp macro="">
      <xdr:nvCxnSpPr>
        <xdr:cNvPr id="97" name="Connecteur droit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 flipH="1" flipV="1">
          <a:off x="14200008" y="6914890"/>
          <a:ext cx="1353757" cy="223257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131669</xdr:colOff>
      <xdr:row>42</xdr:row>
      <xdr:rowOff>118272</xdr:rowOff>
    </xdr:from>
    <xdr:to>
      <xdr:col>22</xdr:col>
      <xdr:colOff>147597</xdr:colOff>
      <xdr:row>51</xdr:row>
      <xdr:rowOff>43917</xdr:rowOff>
    </xdr:to>
    <xdr:cxnSp macro="">
      <xdr:nvCxnSpPr>
        <xdr:cNvPr id="98" name="Connecteur droit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/>
      </xdr:nvCxnSpPr>
      <xdr:spPr>
        <a:xfrm flipH="1" flipV="1">
          <a:off x="15562169" y="7077125"/>
          <a:ext cx="15928" cy="1337586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174728</xdr:colOff>
      <xdr:row>36</xdr:row>
      <xdr:rowOff>89647</xdr:rowOff>
    </xdr:from>
    <xdr:to>
      <xdr:col>24</xdr:col>
      <xdr:colOff>313765</xdr:colOff>
      <xdr:row>43</xdr:row>
      <xdr:rowOff>35599</xdr:rowOff>
    </xdr:to>
    <xdr:cxnSp macro="">
      <xdr:nvCxnSpPr>
        <xdr:cNvPr id="101" name="Connecteur droit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5605228" y="6107206"/>
          <a:ext cx="1674243" cy="1044128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629450</xdr:colOff>
      <xdr:row>51</xdr:row>
      <xdr:rowOff>131671</xdr:rowOff>
    </xdr:from>
    <xdr:to>
      <xdr:col>24</xdr:col>
      <xdr:colOff>94369</xdr:colOff>
      <xdr:row>53</xdr:row>
      <xdr:rowOff>26895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6860050" y="8704171"/>
          <a:ext cx="236444" cy="219074"/>
        </a:xfrm>
        <a:prstGeom prst="rect">
          <a:avLst/>
        </a:prstGeom>
        <a:solidFill>
          <a:srgbClr val="FF0000"/>
        </a:solidFill>
        <a:scene3d>
          <a:camera prst="isometricOffAxis2Left"/>
          <a:lightRig rig="threePt" dir="t"/>
        </a:scene3d>
        <a:sp3d>
          <a:bevelT w="12700" h="3746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19</xdr:col>
      <xdr:colOff>215155</xdr:colOff>
      <xdr:row>36</xdr:row>
      <xdr:rowOff>58270</xdr:rowOff>
    </xdr:from>
    <xdr:to>
      <xdr:col>25</xdr:col>
      <xdr:colOff>241789</xdr:colOff>
      <xdr:row>40</xdr:row>
      <xdr:rowOff>128006</xdr:rowOff>
    </xdr:to>
    <xdr:cxnSp macro="">
      <xdr:nvCxnSpPr>
        <xdr:cNvPr id="113" name="Connecteur droit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/>
      </xdr:nvCxnSpPr>
      <xdr:spPr>
        <a:xfrm>
          <a:off x="13426890" y="6075829"/>
          <a:ext cx="4497781" cy="697265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261568</xdr:colOff>
      <xdr:row>37</xdr:row>
      <xdr:rowOff>27214</xdr:rowOff>
    </xdr:from>
    <xdr:to>
      <xdr:col>26</xdr:col>
      <xdr:colOff>627600</xdr:colOff>
      <xdr:row>39</xdr:row>
      <xdr:rowOff>36739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8415097" y="6201655"/>
          <a:ext cx="366032" cy="323290"/>
        </a:xfrm>
        <a:prstGeom prst="rect">
          <a:avLst/>
        </a:prstGeom>
        <a:solidFill>
          <a:schemeClr val="accent1"/>
        </a:solidFill>
        <a:scene3d>
          <a:camera prst="isometricOffAxis2Left"/>
          <a:lightRig rig="threePt" dir="t"/>
        </a:scene3d>
        <a:sp3d>
          <a:bevelT w="12700" h="4953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25</xdr:col>
      <xdr:colOff>246529</xdr:colOff>
      <xdr:row>31</xdr:row>
      <xdr:rowOff>70597</xdr:rowOff>
    </xdr:from>
    <xdr:to>
      <xdr:col>28</xdr:col>
      <xdr:colOff>775449</xdr:colOff>
      <xdr:row>41</xdr:row>
      <xdr:rowOff>67235</xdr:rowOff>
    </xdr:to>
    <xdr:cxnSp macro="">
      <xdr:nvCxnSpPr>
        <xdr:cNvPr id="108" name="Connecteur droit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 flipH="1">
          <a:off x="17929411" y="5303744"/>
          <a:ext cx="2523567" cy="1565462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693403</xdr:colOff>
      <xdr:row>43</xdr:row>
      <xdr:rowOff>40283</xdr:rowOff>
    </xdr:from>
    <xdr:to>
      <xdr:col>22</xdr:col>
      <xdr:colOff>101732</xdr:colOff>
      <xdr:row>44</xdr:row>
      <xdr:rowOff>16016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15457153" y="7317383"/>
          <a:ext cx="113179" cy="137658"/>
        </a:xfrm>
        <a:prstGeom prst="rect">
          <a:avLst/>
        </a:prstGeom>
        <a:solidFill>
          <a:srgbClr val="7030A0"/>
        </a:solidFill>
        <a:scene3d>
          <a:camera prst="isometricOffAxis2Left"/>
          <a:lightRig rig="threePt" dir="t"/>
        </a:scene3d>
        <a:sp3d>
          <a:bevelT w="12700" h="2095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..</a:t>
          </a:r>
        </a:p>
      </xdr:txBody>
    </xdr:sp>
    <xdr:clientData/>
  </xdr:twoCellAnchor>
  <xdr:twoCellAnchor>
    <xdr:from>
      <xdr:col>19</xdr:col>
      <xdr:colOff>220213</xdr:colOff>
      <xdr:row>52</xdr:row>
      <xdr:rowOff>14551</xdr:rowOff>
    </xdr:from>
    <xdr:to>
      <xdr:col>19</xdr:col>
      <xdr:colOff>420238</xdr:colOff>
      <xdr:row>53</xdr:row>
      <xdr:rowOff>52649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3469488" y="8748976"/>
          <a:ext cx="200025" cy="200023"/>
        </a:xfrm>
        <a:prstGeom prst="rect">
          <a:avLst/>
        </a:prstGeom>
        <a:solidFill>
          <a:schemeClr val="tx1"/>
        </a:solidFill>
        <a:scene3d>
          <a:camera prst="isometricOffAxis2Left"/>
          <a:lightRig rig="threePt" dir="t"/>
        </a:scene3d>
        <a:sp3d>
          <a:bevelT w="12700" h="3238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21</xdr:col>
      <xdr:colOff>222454</xdr:colOff>
      <xdr:row>28</xdr:row>
      <xdr:rowOff>48185</xdr:rowOff>
    </xdr:from>
    <xdr:to>
      <xdr:col>24</xdr:col>
      <xdr:colOff>405655</xdr:colOff>
      <xdr:row>37</xdr:row>
      <xdr:rowOff>63576</xdr:rowOff>
    </xdr:to>
    <xdr:cxnSp macro="">
      <xdr:nvCxnSpPr>
        <xdr:cNvPr id="119" name="Connecteur droit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H="1">
          <a:off x="14946983" y="4810685"/>
          <a:ext cx="2424378" cy="1427332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98810</xdr:colOff>
      <xdr:row>37</xdr:row>
      <xdr:rowOff>113870</xdr:rowOff>
    </xdr:from>
    <xdr:to>
      <xdr:col>21</xdr:col>
      <xdr:colOff>103543</xdr:colOff>
      <xdr:row>54</xdr:row>
      <xdr:rowOff>67802</xdr:rowOff>
    </xdr:to>
    <xdr:cxnSp macro="">
      <xdr:nvCxnSpPr>
        <xdr:cNvPr id="120" name="Connecteur droit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 flipH="1" flipV="1">
          <a:off x="14823339" y="6288311"/>
          <a:ext cx="4733" cy="2620932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720639</xdr:colOff>
      <xdr:row>37</xdr:row>
      <xdr:rowOff>69057</xdr:rowOff>
    </xdr:from>
    <xdr:to>
      <xdr:col>21</xdr:col>
      <xdr:colOff>184857</xdr:colOff>
      <xdr:row>38</xdr:row>
      <xdr:rowOff>126206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4740248" y="6355557"/>
          <a:ext cx="238125" cy="217883"/>
        </a:xfrm>
        <a:prstGeom prst="rect">
          <a:avLst/>
        </a:prstGeom>
        <a:solidFill>
          <a:srgbClr val="FF0000"/>
        </a:solidFill>
        <a:scene3d>
          <a:camera prst="isometricOffAxis2Left"/>
          <a:lightRig rig="threePt" dir="t"/>
        </a:scene3d>
        <a:sp3d>
          <a:bevelT w="12700" h="3746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22</xdr:col>
      <xdr:colOff>653622</xdr:colOff>
      <xdr:row>30</xdr:row>
      <xdr:rowOff>36359</xdr:rowOff>
    </xdr:from>
    <xdr:to>
      <xdr:col>23</xdr:col>
      <xdr:colOff>5922</xdr:colOff>
      <xdr:row>31</xdr:row>
      <xdr:rowOff>12093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6084122" y="5112624"/>
          <a:ext cx="114300" cy="132616"/>
        </a:xfrm>
        <a:prstGeom prst="rect">
          <a:avLst/>
        </a:prstGeom>
        <a:solidFill>
          <a:srgbClr val="7030A0"/>
        </a:solidFill>
        <a:scene3d>
          <a:camera prst="isometricOffAxis2Left"/>
          <a:lightRig rig="threePt" dir="t"/>
        </a:scene3d>
        <a:sp3d>
          <a:bevelT w="12700" h="2095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..</a:t>
          </a:r>
        </a:p>
      </xdr:txBody>
    </xdr:sp>
    <xdr:clientData/>
  </xdr:twoCellAnchor>
  <xdr:twoCellAnchor>
    <xdr:from>
      <xdr:col>23</xdr:col>
      <xdr:colOff>78440</xdr:colOff>
      <xdr:row>20</xdr:row>
      <xdr:rowOff>43702</xdr:rowOff>
    </xdr:from>
    <xdr:to>
      <xdr:col>26</xdr:col>
      <xdr:colOff>546848</xdr:colOff>
      <xdr:row>29</xdr:row>
      <xdr:rowOff>134471</xdr:rowOff>
    </xdr:to>
    <xdr:cxnSp macro="">
      <xdr:nvCxnSpPr>
        <xdr:cNvPr id="126" name="Connecteur droit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 flipH="1">
          <a:off x="16270940" y="3551143"/>
          <a:ext cx="2429437" cy="150271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46746</xdr:colOff>
      <xdr:row>30</xdr:row>
      <xdr:rowOff>22412</xdr:rowOff>
    </xdr:from>
    <xdr:to>
      <xdr:col>23</xdr:col>
      <xdr:colOff>67236</xdr:colOff>
      <xdr:row>55</xdr:row>
      <xdr:rowOff>133564</xdr:rowOff>
    </xdr:to>
    <xdr:cxnSp macro="">
      <xdr:nvCxnSpPr>
        <xdr:cNvPr id="124" name="Connecteur droit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 flipV="1">
          <a:off x="16239246" y="5098677"/>
          <a:ext cx="20490" cy="4033211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144188</xdr:colOff>
      <xdr:row>41</xdr:row>
      <xdr:rowOff>13083</xdr:rowOff>
    </xdr:from>
    <xdr:to>
      <xdr:col>25</xdr:col>
      <xdr:colOff>344213</xdr:colOff>
      <xdr:row>42</xdr:row>
      <xdr:rowOff>51182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7827070" y="6815054"/>
          <a:ext cx="200025" cy="194981"/>
        </a:xfrm>
        <a:prstGeom prst="rect">
          <a:avLst/>
        </a:prstGeom>
        <a:solidFill>
          <a:schemeClr val="tx1"/>
        </a:solidFill>
        <a:scene3d>
          <a:camera prst="isometricOffAxis2Left"/>
          <a:lightRig rig="threePt" dir="t"/>
        </a:scene3d>
        <a:sp3d>
          <a:bevelT w="12700" h="3238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25</xdr:col>
      <xdr:colOff>112076</xdr:colOff>
      <xdr:row>40</xdr:row>
      <xdr:rowOff>80666</xdr:rowOff>
    </xdr:from>
    <xdr:to>
      <xdr:col>25</xdr:col>
      <xdr:colOff>312101</xdr:colOff>
      <xdr:row>41</xdr:row>
      <xdr:rowOff>113721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7794958" y="6725754"/>
          <a:ext cx="200025" cy="189938"/>
        </a:xfrm>
        <a:prstGeom prst="rect">
          <a:avLst/>
        </a:prstGeom>
        <a:solidFill>
          <a:schemeClr val="tx1"/>
        </a:solidFill>
        <a:scene3d>
          <a:camera prst="isometricOffAxis2Left"/>
          <a:lightRig rig="threePt" dir="t"/>
        </a:scene3d>
        <a:sp3d>
          <a:bevelT w="12700" h="32385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19</xdr:col>
      <xdr:colOff>733764</xdr:colOff>
      <xdr:row>25</xdr:row>
      <xdr:rowOff>41696</xdr:rowOff>
    </xdr:from>
    <xdr:to>
      <xdr:col>20</xdr:col>
      <xdr:colOff>360207</xdr:colOff>
      <xdr:row>27</xdr:row>
      <xdr:rowOff>51221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13945499" y="4333549"/>
          <a:ext cx="366032" cy="323290"/>
        </a:xfrm>
        <a:prstGeom prst="rect">
          <a:avLst/>
        </a:prstGeom>
        <a:solidFill>
          <a:schemeClr val="accent1"/>
        </a:solidFill>
        <a:scene3d>
          <a:camera prst="isometricOffAxis2Left"/>
          <a:lightRig rig="threePt" dir="t"/>
        </a:scene3d>
        <a:sp3d>
          <a:bevelT w="12700" h="4953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24</xdr:col>
      <xdr:colOff>628428</xdr:colOff>
      <xdr:row>48</xdr:row>
      <xdr:rowOff>82037</xdr:rowOff>
    </xdr:from>
    <xdr:to>
      <xdr:col>25</xdr:col>
      <xdr:colOff>277284</xdr:colOff>
      <xdr:row>50</xdr:row>
      <xdr:rowOff>91562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7594134" y="7982184"/>
          <a:ext cx="366032" cy="323290"/>
        </a:xfrm>
        <a:prstGeom prst="rect">
          <a:avLst/>
        </a:prstGeom>
        <a:solidFill>
          <a:schemeClr val="accent1"/>
        </a:solidFill>
        <a:scene3d>
          <a:camera prst="isometricOffAxis2Left"/>
          <a:lightRig rig="threePt" dir="t"/>
        </a:scene3d>
        <a:sp3d>
          <a:bevelT w="12700" h="4953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25</xdr:col>
      <xdr:colOff>219635</xdr:colOff>
      <xdr:row>39</xdr:row>
      <xdr:rowOff>133350</xdr:rowOff>
    </xdr:from>
    <xdr:to>
      <xdr:col>28</xdr:col>
      <xdr:colOff>748555</xdr:colOff>
      <xdr:row>49</xdr:row>
      <xdr:rowOff>129989</xdr:rowOff>
    </xdr:to>
    <xdr:cxnSp macro="">
      <xdr:nvCxnSpPr>
        <xdr:cNvPr id="134" name="Connecteur droit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CxnSpPr/>
      </xdr:nvCxnSpPr>
      <xdr:spPr>
        <a:xfrm flipH="1">
          <a:off x="17902517" y="6621556"/>
          <a:ext cx="2523567" cy="1565462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233085</xdr:colOff>
      <xdr:row>44</xdr:row>
      <xdr:rowOff>121023</xdr:rowOff>
    </xdr:from>
    <xdr:to>
      <xdr:col>25</xdr:col>
      <xdr:colOff>259719</xdr:colOff>
      <xdr:row>49</xdr:row>
      <xdr:rowOff>33877</xdr:rowOff>
    </xdr:to>
    <xdr:cxnSp macro="">
      <xdr:nvCxnSpPr>
        <xdr:cNvPr id="133" name="Connecteur droit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>
          <a:off x="13444820" y="7393641"/>
          <a:ext cx="4497781" cy="697265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282949</xdr:colOff>
      <xdr:row>25</xdr:row>
      <xdr:rowOff>11525</xdr:rowOff>
    </xdr:from>
    <xdr:to>
      <xdr:col>26</xdr:col>
      <xdr:colOff>574702</xdr:colOff>
      <xdr:row>29</xdr:row>
      <xdr:rowOff>89648</xdr:rowOff>
    </xdr:to>
    <xdr:cxnSp macro="">
      <xdr:nvCxnSpPr>
        <xdr:cNvPr id="147" name="Connecteur droi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CxnSpPr/>
      </xdr:nvCxnSpPr>
      <xdr:spPr>
        <a:xfrm>
          <a:off x="14352735" y="4447454"/>
          <a:ext cx="4496360" cy="731265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563336</xdr:colOff>
      <xdr:row>28</xdr:row>
      <xdr:rowOff>123824</xdr:rowOff>
    </xdr:from>
    <xdr:to>
      <xdr:col>26</xdr:col>
      <xdr:colOff>596634</xdr:colOff>
      <xdr:row>53</xdr:row>
      <xdr:rowOff>162378</xdr:rowOff>
    </xdr:to>
    <xdr:cxnSp macro="">
      <xdr:nvCxnSpPr>
        <xdr:cNvPr id="148" name="Connecteur droit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/>
      </xdr:nvCxnSpPr>
      <xdr:spPr>
        <a:xfrm flipH="1" flipV="1">
          <a:off x="18837729" y="5049610"/>
          <a:ext cx="33298" cy="4120697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MAQUETTE%20validation%20biologie%20m&#233;dicale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159"/>
  <sheetViews>
    <sheetView showGridLines="0" tabSelected="1" topLeftCell="A40" zoomScale="55" zoomScaleNormal="55" workbookViewId="0">
      <selection activeCell="AH72" sqref="AH72"/>
    </sheetView>
  </sheetViews>
  <sheetFormatPr baseColWidth="10" defaultColWidth="11.42578125" defaultRowHeight="12.75" x14ac:dyDescent="0.25"/>
  <cols>
    <col min="1" max="1" width="5" style="12" customWidth="1"/>
    <col min="2" max="2" width="11.85546875" style="12" customWidth="1"/>
    <col min="3" max="3" width="11.140625" style="12" customWidth="1"/>
    <col min="4" max="4" width="10.7109375" style="12" customWidth="1"/>
    <col min="5" max="10" width="10.140625" style="12" customWidth="1"/>
    <col min="11" max="11" width="9.42578125" style="12" customWidth="1"/>
    <col min="12" max="12" width="12.140625" style="12" customWidth="1"/>
    <col min="13" max="13" width="10.5703125" style="12" customWidth="1"/>
    <col min="14" max="16" width="10.140625" style="12" customWidth="1"/>
    <col min="17" max="17" width="11.42578125" style="12"/>
    <col min="18" max="18" width="13" style="12" customWidth="1"/>
    <col min="19" max="19" width="12.140625" style="12" customWidth="1"/>
    <col min="20" max="20" width="11.140625" style="12" customWidth="1"/>
    <col min="21" max="21" width="11.5703125" style="12" customWidth="1"/>
    <col min="22" max="22" width="10.5703125" style="12" customWidth="1"/>
    <col min="23" max="23" width="11.42578125" style="12"/>
    <col min="24" max="24" width="11.5703125" style="12" bestFit="1" customWidth="1"/>
    <col min="25" max="25" width="10.7109375" style="12" bestFit="1" customWidth="1"/>
    <col min="26" max="26" width="7" style="12" customWidth="1"/>
    <col min="27" max="28" width="11.42578125" style="12"/>
    <col min="29" max="29" width="18.7109375" style="12" customWidth="1"/>
    <col min="30" max="30" width="3.42578125" style="12" customWidth="1"/>
    <col min="31" max="35" width="11.42578125" style="12"/>
    <col min="36" max="36" width="13" style="12" customWidth="1"/>
    <col min="37" max="37" width="22.42578125" style="12" bestFit="1" customWidth="1"/>
    <col min="38" max="38" width="20.42578125" style="12" bestFit="1" customWidth="1"/>
    <col min="39" max="16384" width="11.42578125" style="12"/>
  </cols>
  <sheetData>
    <row r="1" spans="2:43" ht="13.5" thickBot="1" x14ac:dyDescent="0.3">
      <c r="AE1" s="70"/>
    </row>
    <row r="2" spans="2:43" x14ac:dyDescent="0.25">
      <c r="B2" s="140" t="s">
        <v>63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2"/>
      <c r="AE2" s="70"/>
    </row>
    <row r="3" spans="2:43" ht="13.5" thickBot="1" x14ac:dyDescent="0.3"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5"/>
      <c r="AE3" s="70"/>
    </row>
    <row r="4" spans="2:43" ht="13.5" thickBot="1" x14ac:dyDescent="0.3">
      <c r="AE4" s="70"/>
    </row>
    <row r="5" spans="2:43" x14ac:dyDescent="0.25">
      <c r="B5" s="12" t="s">
        <v>47</v>
      </c>
      <c r="S5" s="12" t="s">
        <v>64</v>
      </c>
      <c r="W5" s="73">
        <f>4^4</f>
        <v>256</v>
      </c>
      <c r="AD5" s="146"/>
      <c r="AE5" s="70"/>
    </row>
    <row r="6" spans="2:43" ht="15" customHeight="1" x14ac:dyDescent="0.25">
      <c r="B6" s="12" t="s">
        <v>48</v>
      </c>
      <c r="S6" s="12" t="s">
        <v>65</v>
      </c>
      <c r="W6" s="73">
        <f>4*4</f>
        <v>16</v>
      </c>
      <c r="AD6" s="147"/>
      <c r="AE6" s="70"/>
    </row>
    <row r="7" spans="2:43" ht="15" customHeight="1" x14ac:dyDescent="0.25">
      <c r="B7" s="12" t="s">
        <v>94</v>
      </c>
      <c r="S7" s="74" t="s">
        <v>66</v>
      </c>
      <c r="AD7" s="147"/>
      <c r="AE7" s="70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</row>
    <row r="8" spans="2:43" ht="15" customHeight="1" x14ac:dyDescent="0.25">
      <c r="B8" s="12" t="s">
        <v>49</v>
      </c>
      <c r="AD8" s="147"/>
      <c r="AE8" s="70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</row>
    <row r="9" spans="2:43" ht="15" customHeight="1" x14ac:dyDescent="0.25">
      <c r="B9" s="12" t="s">
        <v>50</v>
      </c>
      <c r="AD9" s="147"/>
      <c r="AE9" s="70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</row>
    <row r="10" spans="2:43" ht="15" customHeight="1" x14ac:dyDescent="0.25">
      <c r="B10" s="12" t="s">
        <v>51</v>
      </c>
      <c r="AD10" s="147"/>
      <c r="AE10" s="70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</row>
    <row r="11" spans="2:43" ht="15" customHeight="1" x14ac:dyDescent="0.25">
      <c r="B11" s="12" t="s">
        <v>52</v>
      </c>
      <c r="AD11" s="147"/>
      <c r="AE11" s="70"/>
      <c r="AF11" s="109">
        <f ca="1">N20</f>
        <v>10.333374386537201</v>
      </c>
      <c r="AG11" s="110">
        <f>R25</f>
        <v>10</v>
      </c>
      <c r="AH11" s="111">
        <f ca="1">M35</f>
        <v>3.3337438653720186E-2</v>
      </c>
      <c r="AI11" s="11" t="s">
        <v>34</v>
      </c>
      <c r="AJ11" s="11" t="s">
        <v>30</v>
      </c>
      <c r="AK11" s="11" t="s">
        <v>39</v>
      </c>
      <c r="AL11" s="11" t="s">
        <v>40</v>
      </c>
      <c r="AM11" s="11" t="s">
        <v>37</v>
      </c>
      <c r="AN11" s="11" t="s">
        <v>38</v>
      </c>
      <c r="AO11" s="63"/>
      <c r="AP11" s="63"/>
      <c r="AQ11" s="63"/>
    </row>
    <row r="12" spans="2:43" ht="15" customHeight="1" x14ac:dyDescent="0.25">
      <c r="B12" s="12" t="s">
        <v>53</v>
      </c>
      <c r="AD12" s="147"/>
      <c r="AE12" s="70"/>
      <c r="AF12" s="109">
        <f ca="1">N21</f>
        <v>10.258957336560352</v>
      </c>
      <c r="AG12" s="110">
        <f>AG11</f>
        <v>10</v>
      </c>
      <c r="AH12" s="111">
        <f ca="1">M36</f>
        <v>2.5895733656035258E-2</v>
      </c>
      <c r="AI12" s="11"/>
      <c r="AJ12" s="11"/>
      <c r="AK12" s="11"/>
      <c r="AL12" s="11"/>
      <c r="AM12" s="11"/>
      <c r="AN12" s="11"/>
      <c r="AO12" s="63"/>
      <c r="AP12" s="63"/>
      <c r="AQ12" s="63"/>
    </row>
    <row r="13" spans="2:43" ht="15" customHeight="1" thickBot="1" x14ac:dyDescent="0.3">
      <c r="B13" s="12" t="s">
        <v>54</v>
      </c>
      <c r="AD13" s="148"/>
      <c r="AE13" s="70"/>
      <c r="AF13" s="109">
        <f ca="1">N22</f>
        <v>10.138963427145841</v>
      </c>
      <c r="AG13" s="110">
        <f t="shared" ref="AG13:AG46" si="0">AG12</f>
        <v>10</v>
      </c>
      <c r="AH13" s="111">
        <f ca="1">M37</f>
        <v>1.3896342714584176E-2</v>
      </c>
      <c r="AI13" s="65">
        <f ca="1">AVERAGE(AH11:AH46)</f>
        <v>4.5902957201462834E-2</v>
      </c>
      <c r="AJ13" s="65">
        <f ca="1">VAR(AH11:AH45)</f>
        <v>9.3266415603378327E-4</v>
      </c>
      <c r="AK13" s="65">
        <f ca="1">AI13-TINV(0.01,G50)*SQRT(AJ13)</f>
        <v>-3.3825028445799328E-2</v>
      </c>
      <c r="AL13" s="65">
        <f ca="1">AI13+TINV(0.01,G50)*SQRT(AJ13)</f>
        <v>0.125630942848725</v>
      </c>
      <c r="AM13" s="65">
        <f>-P$55</f>
        <v>-0.11</v>
      </c>
      <c r="AN13" s="65">
        <f>P$55</f>
        <v>0.11</v>
      </c>
      <c r="AO13" s="63"/>
      <c r="AP13" s="63"/>
      <c r="AQ13" s="63"/>
    </row>
    <row r="14" spans="2:43" ht="13.5" thickBot="1" x14ac:dyDescent="0.3">
      <c r="AE14" s="70"/>
      <c r="AF14" s="109">
        <f ca="1">O20</f>
        <v>10.96014815408784</v>
      </c>
      <c r="AG14" s="110">
        <f t="shared" si="0"/>
        <v>10</v>
      </c>
      <c r="AH14" s="111">
        <f ca="1">D38</f>
        <v>2.1975015830814071E-2</v>
      </c>
      <c r="AI14" s="63"/>
      <c r="AJ14" s="63"/>
      <c r="AK14" s="63"/>
      <c r="AL14" s="63"/>
      <c r="AM14" s="63"/>
      <c r="AN14" s="63"/>
      <c r="AO14" s="63"/>
      <c r="AP14" s="63"/>
      <c r="AQ14" s="63"/>
    </row>
    <row r="15" spans="2:43" ht="13.5" thickBot="1" x14ac:dyDescent="0.3">
      <c r="B15" s="127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9"/>
      <c r="AE15" s="70"/>
      <c r="AF15" s="109">
        <f ca="1">O21</f>
        <v>10.198738042082327</v>
      </c>
      <c r="AG15" s="110">
        <f t="shared" si="0"/>
        <v>10</v>
      </c>
      <c r="AH15" s="111">
        <f ca="1">D39</f>
        <v>7.3439276543982857E-3</v>
      </c>
      <c r="AI15" s="63"/>
      <c r="AJ15" s="63"/>
      <c r="AK15" s="63"/>
      <c r="AL15" s="63"/>
      <c r="AM15" s="63"/>
      <c r="AN15" s="63"/>
      <c r="AO15" s="63"/>
      <c r="AP15" s="63"/>
      <c r="AQ15" s="63"/>
    </row>
    <row r="16" spans="2:43" ht="13.5" thickBot="1" x14ac:dyDescent="0.3"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70"/>
      <c r="AF16" s="109">
        <f ca="1">O22</f>
        <v>10.960737875722192</v>
      </c>
      <c r="AG16" s="110">
        <f t="shared" si="0"/>
        <v>10</v>
      </c>
      <c r="AH16" s="111">
        <f ca="1">D40</f>
        <v>8.9765622674107037E-2</v>
      </c>
      <c r="AI16" s="63"/>
      <c r="AJ16" s="63"/>
      <c r="AK16" s="63"/>
      <c r="AL16" s="63"/>
      <c r="AM16" s="63"/>
      <c r="AN16" s="63"/>
      <c r="AO16" s="63"/>
      <c r="AP16" s="63"/>
      <c r="AQ16" s="63"/>
    </row>
    <row r="17" spans="2:47" ht="15" customHeight="1" x14ac:dyDescent="0.25">
      <c r="B17" s="157" t="s">
        <v>92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R17" s="87" t="s">
        <v>81</v>
      </c>
      <c r="T17" s="162" t="s">
        <v>90</v>
      </c>
      <c r="U17" s="162"/>
      <c r="V17" s="162"/>
      <c r="W17" s="162"/>
      <c r="X17" s="162"/>
      <c r="Y17" s="162"/>
      <c r="Z17" s="162"/>
      <c r="AA17" s="162"/>
      <c r="AB17" s="162"/>
      <c r="AC17" s="163"/>
      <c r="AD17" s="146"/>
      <c r="AE17" s="70"/>
      <c r="AF17" s="109">
        <f ca="1">P20</f>
        <v>10.204321266692288</v>
      </c>
      <c r="AG17" s="110">
        <f t="shared" si="0"/>
        <v>10</v>
      </c>
      <c r="AH17" s="111">
        <f ca="1">G41</f>
        <v>1.0337903069870924E-2</v>
      </c>
      <c r="AI17" s="63"/>
      <c r="AJ17" s="63"/>
      <c r="AK17" s="63"/>
      <c r="AL17" s="63"/>
      <c r="AM17" s="63"/>
      <c r="AN17" s="63"/>
      <c r="AO17" s="63"/>
      <c r="AP17" s="63"/>
      <c r="AQ17" s="63"/>
    </row>
    <row r="18" spans="2:47" ht="15" customHeight="1" x14ac:dyDescent="0.25">
      <c r="B18" s="149" t="s">
        <v>1</v>
      </c>
      <c r="C18" s="153" t="s">
        <v>81</v>
      </c>
      <c r="D18" s="154"/>
      <c r="E18" s="158" t="s">
        <v>3</v>
      </c>
      <c r="F18" s="158"/>
      <c r="G18" s="158"/>
      <c r="H18" s="158" t="s">
        <v>4</v>
      </c>
      <c r="I18" s="158"/>
      <c r="J18" s="158"/>
      <c r="K18" s="158" t="s">
        <v>5</v>
      </c>
      <c r="L18" s="158"/>
      <c r="M18" s="158"/>
      <c r="N18" s="158" t="s">
        <v>6</v>
      </c>
      <c r="O18" s="158"/>
      <c r="P18" s="158"/>
      <c r="R18" s="90" t="s">
        <v>43</v>
      </c>
      <c r="V18" s="4"/>
      <c r="W18" s="4"/>
      <c r="X18" s="4"/>
      <c r="Y18" s="4"/>
      <c r="Z18" s="4"/>
      <c r="AA18" s="13"/>
      <c r="AD18" s="147"/>
      <c r="AE18" s="70"/>
      <c r="AF18" s="109">
        <f ca="1">P21</f>
        <v>10.722624759879725</v>
      </c>
      <c r="AG18" s="110">
        <f t="shared" si="0"/>
        <v>10</v>
      </c>
      <c r="AH18" s="111">
        <f ca="1">G42</f>
        <v>1.8313482481606691E-3</v>
      </c>
      <c r="AI18" s="63"/>
      <c r="AJ18" s="63"/>
      <c r="AK18" s="63"/>
      <c r="AL18" s="63"/>
      <c r="AM18" s="63"/>
      <c r="AN18" s="63"/>
      <c r="AO18" s="63"/>
      <c r="AP18" s="63"/>
      <c r="AQ18" s="63"/>
    </row>
    <row r="19" spans="2:47" x14ac:dyDescent="0.25">
      <c r="B19" s="150"/>
      <c r="C19" s="87"/>
      <c r="D19" s="94" t="s">
        <v>95</v>
      </c>
      <c r="E19" s="117" t="s">
        <v>82</v>
      </c>
      <c r="F19" s="117" t="s">
        <v>93</v>
      </c>
      <c r="G19" s="117" t="s">
        <v>83</v>
      </c>
      <c r="H19" s="117" t="s">
        <v>82</v>
      </c>
      <c r="I19" s="117" t="s">
        <v>93</v>
      </c>
      <c r="J19" s="117" t="s">
        <v>83</v>
      </c>
      <c r="K19" s="117" t="s">
        <v>82</v>
      </c>
      <c r="L19" s="117" t="s">
        <v>93</v>
      </c>
      <c r="M19" s="117" t="s">
        <v>83</v>
      </c>
      <c r="N19" s="117" t="s">
        <v>82</v>
      </c>
      <c r="O19" s="117" t="s">
        <v>93</v>
      </c>
      <c r="P19" s="117" t="s">
        <v>83</v>
      </c>
      <c r="R19" s="91" t="s">
        <v>44</v>
      </c>
      <c r="V19" s="14"/>
      <c r="AA19" s="13"/>
      <c r="AD19" s="147"/>
      <c r="AE19" s="70"/>
      <c r="AF19" s="109">
        <f ca="1">P22</f>
        <v>10.336631644947804</v>
      </c>
      <c r="AG19" s="110">
        <f t="shared" si="0"/>
        <v>10</v>
      </c>
      <c r="AH19" s="111">
        <f ca="1">G43</f>
        <v>6.0307174599469882E-2</v>
      </c>
      <c r="AI19" s="63"/>
      <c r="AJ19" s="63"/>
      <c r="AK19" s="63"/>
      <c r="AL19" s="63"/>
      <c r="AM19" s="63"/>
      <c r="AN19" s="63"/>
      <c r="AO19" s="63"/>
      <c r="AP19" s="63"/>
      <c r="AQ19" s="63"/>
    </row>
    <row r="20" spans="2:47" x14ac:dyDescent="0.25">
      <c r="B20" s="150"/>
      <c r="C20" s="152" t="s">
        <v>7</v>
      </c>
      <c r="D20" s="94" t="s">
        <v>79</v>
      </c>
      <c r="E20" s="15">
        <f ca="1">$R$27+RAND()</f>
        <v>30.857322489486346</v>
      </c>
      <c r="F20" s="15">
        <f t="shared" ref="E20:G22" ca="1" si="1">$R$27+RAND()</f>
        <v>30.455800103457314</v>
      </c>
      <c r="G20" s="15">
        <f t="shared" ca="1" si="1"/>
        <v>30.666111030518913</v>
      </c>
      <c r="H20" s="16">
        <f t="shared" ref="H20:J22" ca="1" si="2">$R$26+RAND()</f>
        <v>20.246293442783749</v>
      </c>
      <c r="I20" s="16">
        <f t="shared" ca="1" si="2"/>
        <v>20.695025047438101</v>
      </c>
      <c r="J20" s="16">
        <f t="shared" ca="1" si="2"/>
        <v>20.52916189057094</v>
      </c>
      <c r="K20" s="17">
        <f t="shared" ref="K20:M22" ca="1" si="3">$R$28+RAND()</f>
        <v>40.442457642937391</v>
      </c>
      <c r="L20" s="17">
        <f t="shared" ca="1" si="3"/>
        <v>40.779369805853946</v>
      </c>
      <c r="M20" s="17">
        <f t="shared" ca="1" si="3"/>
        <v>40.164562209084941</v>
      </c>
      <c r="N20" s="18">
        <f t="shared" ref="N20:P22" ca="1" si="4">$R$25+RAND()</f>
        <v>10.333374386537201</v>
      </c>
      <c r="O20" s="18">
        <f t="shared" ca="1" si="4"/>
        <v>10.96014815408784</v>
      </c>
      <c r="P20" s="18">
        <f t="shared" ca="1" si="4"/>
        <v>10.204321266692288</v>
      </c>
      <c r="Q20" s="33"/>
      <c r="R20" s="92" t="s">
        <v>45</v>
      </c>
      <c r="V20" s="4"/>
      <c r="W20" s="19"/>
      <c r="X20" s="19"/>
      <c r="Y20" s="19"/>
      <c r="Z20" s="19"/>
      <c r="AA20" s="13"/>
      <c r="AD20" s="147"/>
      <c r="AE20" s="70"/>
      <c r="AF20" s="109">
        <f ca="1">E23</f>
        <v>10.219750158308141</v>
      </c>
      <c r="AG20" s="110">
        <f t="shared" si="0"/>
        <v>10</v>
      </c>
      <c r="AH20" s="111">
        <f ca="1">J44</f>
        <v>7.0145316629430576E-2</v>
      </c>
      <c r="AI20" s="63"/>
      <c r="AJ20" s="63"/>
      <c r="AK20" s="63"/>
      <c r="AL20" s="63"/>
      <c r="AM20" s="63"/>
      <c r="AN20" s="63"/>
      <c r="AO20" s="63"/>
      <c r="AP20" s="63"/>
      <c r="AQ20" s="63"/>
    </row>
    <row r="21" spans="2:47" x14ac:dyDescent="0.25">
      <c r="B21" s="150"/>
      <c r="C21" s="152"/>
      <c r="D21" s="94" t="s">
        <v>78</v>
      </c>
      <c r="E21" s="15">
        <f t="shared" ca="1" si="1"/>
        <v>30.094816281331241</v>
      </c>
      <c r="F21" s="15">
        <f t="shared" ca="1" si="1"/>
        <v>30.861904277365955</v>
      </c>
      <c r="G21" s="15">
        <f t="shared" ca="1" si="1"/>
        <v>30.849165212924159</v>
      </c>
      <c r="H21" s="16">
        <f t="shared" ca="1" si="2"/>
        <v>20.568329734715483</v>
      </c>
      <c r="I21" s="16">
        <f t="shared" ca="1" si="2"/>
        <v>20.003023854460952</v>
      </c>
      <c r="J21" s="16">
        <f t="shared" ca="1" si="2"/>
        <v>20.530919422067932</v>
      </c>
      <c r="K21" s="17">
        <f t="shared" ca="1" si="3"/>
        <v>40.490509188674395</v>
      </c>
      <c r="L21" s="17">
        <f t="shared" ca="1" si="3"/>
        <v>40.525716672540199</v>
      </c>
      <c r="M21" s="17">
        <f t="shared" ca="1" si="3"/>
        <v>40.430645736450991</v>
      </c>
      <c r="N21" s="18">
        <f t="shared" ca="1" si="4"/>
        <v>10.258957336560352</v>
      </c>
      <c r="O21" s="18">
        <f t="shared" ca="1" si="4"/>
        <v>10.198738042082327</v>
      </c>
      <c r="P21" s="18">
        <f t="shared" ca="1" si="4"/>
        <v>10.722624759879725</v>
      </c>
      <c r="Q21" s="33"/>
      <c r="R21" s="93" t="s">
        <v>46</v>
      </c>
      <c r="V21" s="4"/>
      <c r="W21" s="19"/>
      <c r="X21" s="19"/>
      <c r="Y21" s="19"/>
      <c r="Z21" s="19"/>
      <c r="AA21" s="13"/>
      <c r="AD21" s="147"/>
      <c r="AE21" s="70"/>
      <c r="AF21" s="109">
        <f ca="1">E24</f>
        <v>10.073439276543983</v>
      </c>
      <c r="AG21" s="110">
        <f t="shared" si="0"/>
        <v>10</v>
      </c>
      <c r="AH21" s="111">
        <f ca="1">J45</f>
        <v>1.3618777736079446E-2</v>
      </c>
      <c r="AI21" s="63"/>
      <c r="AJ21" s="63"/>
      <c r="AK21" s="63"/>
      <c r="AL21" s="63"/>
      <c r="AM21" s="63"/>
      <c r="AN21" s="63"/>
      <c r="AO21" s="63"/>
      <c r="AP21" s="63"/>
      <c r="AQ21" s="63"/>
    </row>
    <row r="22" spans="2:47" x14ac:dyDescent="0.25">
      <c r="B22" s="150"/>
      <c r="C22" s="152"/>
      <c r="D22" s="94" t="s">
        <v>80</v>
      </c>
      <c r="E22" s="15">
        <f t="shared" ca="1" si="1"/>
        <v>30.925932475680398</v>
      </c>
      <c r="F22" s="15">
        <f t="shared" ca="1" si="1"/>
        <v>30.606643090578142</v>
      </c>
      <c r="G22" s="15">
        <f t="shared" ca="1" si="1"/>
        <v>30.385979286790281</v>
      </c>
      <c r="H22" s="16">
        <f t="shared" ca="1" si="2"/>
        <v>20.033850554469129</v>
      </c>
      <c r="I22" s="16">
        <f t="shared" ca="1" si="2"/>
        <v>20.674656784080931</v>
      </c>
      <c r="J22" s="16">
        <f t="shared" ca="1" si="2"/>
        <v>20.514906242139524</v>
      </c>
      <c r="K22" s="17">
        <f t="shared" ca="1" si="3"/>
        <v>40.051117099493133</v>
      </c>
      <c r="L22" s="17">
        <f t="shared" ca="1" si="3"/>
        <v>40.727955298887878</v>
      </c>
      <c r="M22" s="17">
        <f t="shared" ca="1" si="3"/>
        <v>40.917660080690304</v>
      </c>
      <c r="N22" s="18">
        <f t="shared" ca="1" si="4"/>
        <v>10.138963427145841</v>
      </c>
      <c r="O22" s="18">
        <f t="shared" ca="1" si="4"/>
        <v>10.960737875722192</v>
      </c>
      <c r="P22" s="18">
        <f t="shared" ca="1" si="4"/>
        <v>10.336631644947804</v>
      </c>
      <c r="Q22" s="33"/>
      <c r="V22" s="4"/>
      <c r="W22" s="19"/>
      <c r="X22" s="19"/>
      <c r="Y22" s="19"/>
      <c r="Z22" s="19"/>
      <c r="AA22" s="13"/>
      <c r="AD22" s="147"/>
      <c r="AE22" s="70"/>
      <c r="AF22" s="109">
        <f ca="1">E25</f>
        <v>10.89765622674107</v>
      </c>
      <c r="AG22" s="110">
        <f t="shared" si="0"/>
        <v>10</v>
      </c>
      <c r="AH22" s="111">
        <f ca="1">J46</f>
        <v>6.5743525092280652E-2</v>
      </c>
      <c r="AI22" s="63"/>
      <c r="AJ22" s="63"/>
      <c r="AK22" s="63"/>
      <c r="AL22" s="63"/>
      <c r="AM22" s="63"/>
      <c r="AN22" s="63"/>
      <c r="AO22" s="63"/>
      <c r="AP22" s="63"/>
      <c r="AQ22" s="63"/>
    </row>
    <row r="23" spans="2:47" x14ac:dyDescent="0.25">
      <c r="B23" s="150"/>
      <c r="C23" s="152" t="s">
        <v>8</v>
      </c>
      <c r="D23" s="94" t="s">
        <v>79</v>
      </c>
      <c r="E23" s="20">
        <f t="shared" ref="E23:G25" ca="1" si="5">$R$25+RAND()</f>
        <v>10.219750158308141</v>
      </c>
      <c r="F23" s="20">
        <f t="shared" ca="1" si="5"/>
        <v>10.587634234540266</v>
      </c>
      <c r="G23" s="20">
        <f t="shared" ca="1" si="5"/>
        <v>10.566959828378359</v>
      </c>
      <c r="H23" s="21">
        <f t="shared" ref="H23:J25" ca="1" si="6">$R$28+RAND()</f>
        <v>40.698357681802818</v>
      </c>
      <c r="I23" s="21">
        <f t="shared" ca="1" si="6"/>
        <v>40.936433585545146</v>
      </c>
      <c r="J23" s="21">
        <f t="shared" ca="1" si="6"/>
        <v>40.742501455330739</v>
      </c>
      <c r="K23" s="22">
        <f t="shared" ref="K23:M25" ca="1" si="7">$R$26+RAND()</f>
        <v>20.932760664799265</v>
      </c>
      <c r="L23" s="22">
        <f t="shared" ca="1" si="7"/>
        <v>20.096221710366532</v>
      </c>
      <c r="M23" s="22">
        <f t="shared" ca="1" si="7"/>
        <v>20.252550862937799</v>
      </c>
      <c r="N23" s="23">
        <f t="shared" ref="N23:P25" ca="1" si="8">$R$27+RAND()</f>
        <v>30.291503341115853</v>
      </c>
      <c r="O23" s="23">
        <f t="shared" ca="1" si="8"/>
        <v>30.964355631405521</v>
      </c>
      <c r="P23" s="23">
        <f t="shared" ca="1" si="8"/>
        <v>30.082902899969724</v>
      </c>
      <c r="Q23" s="33"/>
      <c r="V23" s="4"/>
      <c r="W23" s="19"/>
      <c r="X23" s="19"/>
      <c r="Y23" s="19"/>
      <c r="Z23" s="19"/>
      <c r="AA23" s="13"/>
      <c r="AD23" s="147"/>
      <c r="AE23" s="70"/>
      <c r="AF23" s="109">
        <f ca="1">F23</f>
        <v>10.587634234540266</v>
      </c>
      <c r="AG23" s="110">
        <f t="shared" si="0"/>
        <v>10</v>
      </c>
      <c r="AH23" s="111">
        <f ca="1">N35</f>
        <v>9.6014815408783871E-2</v>
      </c>
      <c r="AI23" s="63"/>
      <c r="AJ23" s="63"/>
      <c r="AK23" s="63"/>
      <c r="AL23" s="63"/>
      <c r="AM23" s="63"/>
      <c r="AN23" s="63"/>
      <c r="AO23" s="63"/>
      <c r="AP23" s="63"/>
      <c r="AQ23" s="63"/>
      <c r="AU23" s="70"/>
    </row>
    <row r="24" spans="2:47" x14ac:dyDescent="0.25">
      <c r="B24" s="150"/>
      <c r="C24" s="152"/>
      <c r="D24" s="94" t="s">
        <v>78</v>
      </c>
      <c r="E24" s="20">
        <f t="shared" ca="1" si="5"/>
        <v>10.073439276543983</v>
      </c>
      <c r="F24" s="20">
        <f t="shared" ca="1" si="5"/>
        <v>10.767780114583564</v>
      </c>
      <c r="G24" s="20">
        <f t="shared" ca="1" si="5"/>
        <v>10.339727565004583</v>
      </c>
      <c r="H24" s="21">
        <f t="shared" ca="1" si="6"/>
        <v>40.654954915648176</v>
      </c>
      <c r="I24" s="21">
        <f t="shared" ca="1" si="6"/>
        <v>40.722689281820557</v>
      </c>
      <c r="J24" s="21">
        <f t="shared" ca="1" si="6"/>
        <v>40.435646392639519</v>
      </c>
      <c r="K24" s="22">
        <f t="shared" ca="1" si="7"/>
        <v>20.225982229995527</v>
      </c>
      <c r="L24" s="22">
        <f t="shared" ca="1" si="7"/>
        <v>20.821982626079702</v>
      </c>
      <c r="M24" s="22">
        <f t="shared" ca="1" si="7"/>
        <v>20.048159834566562</v>
      </c>
      <c r="N24" s="23">
        <f t="shared" ca="1" si="8"/>
        <v>30.408211889292254</v>
      </c>
      <c r="O24" s="23">
        <f t="shared" ca="1" si="8"/>
        <v>30.35624161413077</v>
      </c>
      <c r="P24" s="23">
        <f t="shared" ca="1" si="8"/>
        <v>30.071713127413599</v>
      </c>
      <c r="Q24" s="33"/>
      <c r="R24" s="157" t="s">
        <v>85</v>
      </c>
      <c r="S24" s="157"/>
      <c r="V24" s="4"/>
      <c r="W24" s="19"/>
      <c r="X24" s="19"/>
      <c r="Y24" s="19"/>
      <c r="Z24" s="19"/>
      <c r="AA24" s="13" t="s">
        <v>86</v>
      </c>
      <c r="AD24" s="147"/>
      <c r="AE24" s="70"/>
      <c r="AF24" s="109">
        <f ca="1">F24</f>
        <v>10.767780114583564</v>
      </c>
      <c r="AG24" s="110">
        <f t="shared" si="0"/>
        <v>10</v>
      </c>
      <c r="AH24" s="111">
        <f ca="1">N36</f>
        <v>1.9873804208232704E-2</v>
      </c>
      <c r="AI24" s="63"/>
      <c r="AJ24" s="63"/>
      <c r="AK24" s="63"/>
      <c r="AL24" s="63"/>
      <c r="AM24" s="63"/>
      <c r="AN24" s="63"/>
      <c r="AO24" s="63"/>
      <c r="AP24" s="63"/>
      <c r="AQ24" s="63"/>
      <c r="AU24" s="70"/>
    </row>
    <row r="25" spans="2:47" x14ac:dyDescent="0.25">
      <c r="B25" s="150"/>
      <c r="C25" s="152"/>
      <c r="D25" s="94" t="s">
        <v>80</v>
      </c>
      <c r="E25" s="20">
        <f t="shared" ca="1" si="5"/>
        <v>10.89765622674107</v>
      </c>
      <c r="F25" s="20">
        <f t="shared" ca="1" si="5"/>
        <v>10.912171718159826</v>
      </c>
      <c r="G25" s="20">
        <f t="shared" ca="1" si="5"/>
        <v>10.000585822109855</v>
      </c>
      <c r="H25" s="21">
        <f t="shared" ca="1" si="6"/>
        <v>40.265285000999889</v>
      </c>
      <c r="I25" s="21">
        <f t="shared" ca="1" si="6"/>
        <v>40.209642567096253</v>
      </c>
      <c r="J25" s="21">
        <f t="shared" ca="1" si="6"/>
        <v>40.162421713204388</v>
      </c>
      <c r="K25" s="22">
        <f t="shared" ca="1" si="7"/>
        <v>20.507249169403043</v>
      </c>
      <c r="L25" s="22">
        <f t="shared" ca="1" si="7"/>
        <v>20.543264706108733</v>
      </c>
      <c r="M25" s="22">
        <f t="shared" ca="1" si="7"/>
        <v>20.321653965202184</v>
      </c>
      <c r="N25" s="23">
        <f t="shared" ca="1" si="8"/>
        <v>30.809331603644317</v>
      </c>
      <c r="O25" s="23">
        <f t="shared" ca="1" si="8"/>
        <v>30.546574601377543</v>
      </c>
      <c r="P25" s="23">
        <f t="shared" ca="1" si="8"/>
        <v>30.460155281098608</v>
      </c>
      <c r="Q25" s="33"/>
      <c r="R25" s="113">
        <v>10</v>
      </c>
      <c r="S25" s="12" t="s">
        <v>88</v>
      </c>
      <c r="U25" s="1"/>
      <c r="V25" s="4"/>
      <c r="W25" s="19"/>
      <c r="X25" s="19"/>
      <c r="Y25" s="19"/>
      <c r="Z25" s="19"/>
      <c r="AA25" s="13"/>
      <c r="AD25" s="147"/>
      <c r="AE25" s="70"/>
      <c r="AF25" s="109">
        <f ca="1">F25</f>
        <v>10.912171718159826</v>
      </c>
      <c r="AG25" s="110">
        <f t="shared" si="0"/>
        <v>10</v>
      </c>
      <c r="AH25" s="111">
        <f ca="1">N37</f>
        <v>9.6073787572219072E-2</v>
      </c>
      <c r="AI25" s="63"/>
      <c r="AJ25" s="63"/>
      <c r="AK25" s="63"/>
      <c r="AL25" s="63"/>
      <c r="AM25" s="63"/>
      <c r="AN25" s="63"/>
      <c r="AO25" s="63"/>
      <c r="AP25" s="63"/>
      <c r="AQ25" s="63"/>
      <c r="AU25" s="70"/>
    </row>
    <row r="26" spans="2:47" x14ac:dyDescent="0.25">
      <c r="B26" s="150"/>
      <c r="C26" s="152" t="s">
        <v>9</v>
      </c>
      <c r="D26" s="94" t="s">
        <v>79</v>
      </c>
      <c r="E26" s="24">
        <f t="shared" ref="E26:G28" ca="1" si="9">$R$28+RAND()</f>
        <v>40.540497373773327</v>
      </c>
      <c r="F26" s="24">
        <f t="shared" ca="1" si="9"/>
        <v>40.856188817123261</v>
      </c>
      <c r="G26" s="24">
        <f t="shared" ca="1" si="9"/>
        <v>40.418188387403106</v>
      </c>
      <c r="H26" s="25">
        <f t="shared" ref="H26:J28" ca="1" si="10">$R$25+RAND()</f>
        <v>10.10337903069871</v>
      </c>
      <c r="I26" s="25">
        <f t="shared" ca="1" si="10"/>
        <v>10.325735574168631</v>
      </c>
      <c r="J26" s="25">
        <f t="shared" ca="1" si="10"/>
        <v>10.469696349156399</v>
      </c>
      <c r="K26" s="26">
        <f t="shared" ref="K26:M28" ca="1" si="11">$R$27+RAND()</f>
        <v>30.675970332208639</v>
      </c>
      <c r="L26" s="26">
        <f t="shared" ca="1" si="11"/>
        <v>30.024800748598111</v>
      </c>
      <c r="M26" s="26">
        <f t="shared" ca="1" si="11"/>
        <v>30.815103220980419</v>
      </c>
      <c r="N26" s="27">
        <f t="shared" ref="N26:P28" ca="1" si="12">$R$26+RAND()</f>
        <v>20.588711639502858</v>
      </c>
      <c r="O26" s="27">
        <f t="shared" ca="1" si="12"/>
        <v>20.078824654239803</v>
      </c>
      <c r="P26" s="27">
        <f t="shared" ca="1" si="12"/>
        <v>20.062918630027884</v>
      </c>
      <c r="Q26" s="33"/>
      <c r="R26" s="114">
        <v>20</v>
      </c>
      <c r="S26" s="12" t="s">
        <v>88</v>
      </c>
      <c r="U26" s="1"/>
      <c r="V26" s="4"/>
      <c r="W26" s="19"/>
      <c r="X26" s="19"/>
      <c r="Y26" s="19"/>
      <c r="Z26" s="19"/>
      <c r="AA26" s="13"/>
      <c r="AB26" s="3"/>
      <c r="AC26" s="3"/>
      <c r="AD26" s="147"/>
      <c r="AE26" s="70"/>
      <c r="AF26" s="109">
        <f ca="1">G23</f>
        <v>10.566959828378359</v>
      </c>
      <c r="AG26" s="110">
        <f t="shared" si="0"/>
        <v>10</v>
      </c>
      <c r="AH26" s="111">
        <f ca="1">E38</f>
        <v>5.8763423454026631E-2</v>
      </c>
      <c r="AI26" s="63"/>
      <c r="AJ26" s="63"/>
      <c r="AK26" s="63"/>
      <c r="AL26" s="63"/>
      <c r="AM26" s="63"/>
      <c r="AN26" s="63"/>
      <c r="AO26" s="11"/>
      <c r="AP26" s="11"/>
      <c r="AQ26" s="66"/>
      <c r="AR26" s="97"/>
      <c r="AS26" s="97"/>
      <c r="AT26" s="97"/>
      <c r="AU26" s="70"/>
    </row>
    <row r="27" spans="2:47" x14ac:dyDescent="0.25">
      <c r="B27" s="150"/>
      <c r="C27" s="152"/>
      <c r="D27" s="94" t="s">
        <v>78</v>
      </c>
      <c r="E27" s="24">
        <f t="shared" ca="1" si="9"/>
        <v>40.216077173163285</v>
      </c>
      <c r="F27" s="24">
        <f t="shared" ca="1" si="9"/>
        <v>40.237796332435352</v>
      </c>
      <c r="G27" s="24">
        <f t="shared" ca="1" si="9"/>
        <v>40.347575326535519</v>
      </c>
      <c r="H27" s="25">
        <f t="shared" ca="1" si="10"/>
        <v>10.018313482481606</v>
      </c>
      <c r="I27" s="25">
        <f t="shared" ca="1" si="10"/>
        <v>10.554604409912731</v>
      </c>
      <c r="J27" s="25">
        <f t="shared" ca="1" si="10"/>
        <v>10.667047261232709</v>
      </c>
      <c r="K27" s="26">
        <f t="shared" ca="1" si="11"/>
        <v>30.574034549030284</v>
      </c>
      <c r="L27" s="26">
        <f t="shared" ca="1" si="11"/>
        <v>30.783142791823771</v>
      </c>
      <c r="M27" s="26">
        <f t="shared" ca="1" si="11"/>
        <v>30.040448780709049</v>
      </c>
      <c r="N27" s="27">
        <f t="shared" ca="1" si="12"/>
        <v>20.584237266712861</v>
      </c>
      <c r="O27" s="27">
        <f t="shared" ca="1" si="12"/>
        <v>20.679669132760854</v>
      </c>
      <c r="P27" s="27">
        <f t="shared" ca="1" si="12"/>
        <v>20.160562517756379</v>
      </c>
      <c r="Q27" s="33"/>
      <c r="R27" s="115">
        <v>30</v>
      </c>
      <c r="S27" s="12" t="s">
        <v>88</v>
      </c>
      <c r="U27" s="1"/>
      <c r="V27" s="4"/>
      <c r="W27" s="19"/>
      <c r="X27" s="19"/>
      <c r="Y27" s="19"/>
      <c r="Z27" s="19"/>
      <c r="AA27" s="13"/>
      <c r="AB27" s="3"/>
      <c r="AC27" s="3"/>
      <c r="AD27" s="147"/>
      <c r="AE27" s="70"/>
      <c r="AF27" s="109">
        <f ca="1">G24</f>
        <v>10.339727565004583</v>
      </c>
      <c r="AG27" s="110">
        <f t="shared" si="0"/>
        <v>10</v>
      </c>
      <c r="AH27" s="111">
        <f ca="1">E39</f>
        <v>7.6778011458356499E-2</v>
      </c>
      <c r="AI27" s="63"/>
      <c r="AJ27" s="63"/>
      <c r="AK27" s="63"/>
      <c r="AL27" s="63"/>
      <c r="AM27" s="63"/>
      <c r="AN27" s="63"/>
      <c r="AO27" s="11"/>
      <c r="AP27" s="11"/>
      <c r="AQ27" s="66"/>
      <c r="AR27" s="97"/>
      <c r="AS27" s="97"/>
      <c r="AT27" s="97"/>
      <c r="AU27" s="70"/>
    </row>
    <row r="28" spans="2:47" x14ac:dyDescent="0.25">
      <c r="B28" s="150"/>
      <c r="C28" s="152"/>
      <c r="D28" s="94" t="s">
        <v>80</v>
      </c>
      <c r="E28" s="24">
        <f t="shared" ca="1" si="9"/>
        <v>40.628092465196922</v>
      </c>
      <c r="F28" s="24">
        <f t="shared" ca="1" si="9"/>
        <v>40.813264381839168</v>
      </c>
      <c r="G28" s="24">
        <f t="shared" ca="1" si="9"/>
        <v>40.857494735023103</v>
      </c>
      <c r="H28" s="25">
        <f t="shared" ca="1" si="10"/>
        <v>10.603071745994699</v>
      </c>
      <c r="I28" s="25">
        <f t="shared" ca="1" si="10"/>
        <v>10.99983042814112</v>
      </c>
      <c r="J28" s="25">
        <f t="shared" ca="1" si="10"/>
        <v>10.377800934339518</v>
      </c>
      <c r="K28" s="26">
        <f t="shared" ca="1" si="11"/>
        <v>30.83438109937029</v>
      </c>
      <c r="L28" s="26">
        <f t="shared" ca="1" si="11"/>
        <v>30.116277373468662</v>
      </c>
      <c r="M28" s="26">
        <f t="shared" ca="1" si="11"/>
        <v>30.838476794666565</v>
      </c>
      <c r="N28" s="27">
        <f t="shared" ca="1" si="12"/>
        <v>20.015169807906162</v>
      </c>
      <c r="O28" s="27">
        <f t="shared" ca="1" si="12"/>
        <v>20.507335004820906</v>
      </c>
      <c r="P28" s="27">
        <f t="shared" ca="1" si="12"/>
        <v>20.533001886487121</v>
      </c>
      <c r="Q28" s="33"/>
      <c r="R28" s="116">
        <v>40</v>
      </c>
      <c r="S28" s="12" t="s">
        <v>88</v>
      </c>
      <c r="U28" s="1"/>
      <c r="V28" s="4"/>
      <c r="W28" s="19"/>
      <c r="X28" s="19"/>
      <c r="Y28" s="19"/>
      <c r="Z28" s="19"/>
      <c r="AA28" s="13"/>
      <c r="AB28" s="3"/>
      <c r="AC28" s="3"/>
      <c r="AD28" s="147"/>
      <c r="AE28" s="70"/>
      <c r="AF28" s="109">
        <f ca="1">G25</f>
        <v>10.000585822109855</v>
      </c>
      <c r="AG28" s="110">
        <f t="shared" si="0"/>
        <v>10</v>
      </c>
      <c r="AH28" s="111">
        <f ca="1">E40</f>
        <v>9.1217171815982656E-2</v>
      </c>
      <c r="AI28" s="63"/>
      <c r="AJ28" s="63"/>
      <c r="AK28" s="63"/>
      <c r="AL28" s="63"/>
      <c r="AM28" s="63"/>
      <c r="AN28" s="63"/>
      <c r="AO28" s="11"/>
      <c r="AP28" s="11"/>
      <c r="AQ28" s="66"/>
      <c r="AR28" s="97"/>
      <c r="AS28" s="97"/>
      <c r="AT28" s="97"/>
      <c r="AU28" s="70"/>
    </row>
    <row r="29" spans="2:47" x14ac:dyDescent="0.25">
      <c r="B29" s="150"/>
      <c r="C29" s="152" t="s">
        <v>10</v>
      </c>
      <c r="D29" s="94" t="s">
        <v>79</v>
      </c>
      <c r="E29" s="28">
        <f t="shared" ref="E29:G31" ca="1" si="13">$R$26+RAND()</f>
        <v>20.919751809035027</v>
      </c>
      <c r="F29" s="28">
        <f t="shared" ca="1" si="13"/>
        <v>20.176372745168774</v>
      </c>
      <c r="G29" s="28">
        <f t="shared" ca="1" si="13"/>
        <v>20.68733246333948</v>
      </c>
      <c r="H29" s="29">
        <f t="shared" ref="H29:J31" ca="1" si="14">$R$27+RAND()</f>
        <v>30.239445430884256</v>
      </c>
      <c r="I29" s="29">
        <f t="shared" ca="1" si="14"/>
        <v>30.541141230015352</v>
      </c>
      <c r="J29" s="29">
        <f t="shared" ca="1" si="14"/>
        <v>30.34083134372964</v>
      </c>
      <c r="K29" s="30">
        <f t="shared" ref="K29:M31" ca="1" si="15">$R$25+RAND()</f>
        <v>10.701453166294305</v>
      </c>
      <c r="L29" s="30">
        <f t="shared" ca="1" si="15"/>
        <v>10.9299075130484</v>
      </c>
      <c r="M29" s="30">
        <f t="shared" ca="1" si="15"/>
        <v>10.378325630440649</v>
      </c>
      <c r="N29" s="31">
        <f t="shared" ref="N29:P31" ca="1" si="16">$R$28+RAND()</f>
        <v>40.012783635250862</v>
      </c>
      <c r="O29" s="31">
        <f t="shared" ca="1" si="16"/>
        <v>40.780701940324782</v>
      </c>
      <c r="P29" s="31">
        <f t="shared" ca="1" si="16"/>
        <v>40.921655914211009</v>
      </c>
      <c r="Q29" s="33"/>
      <c r="U29" s="1"/>
      <c r="V29" s="4"/>
      <c r="W29" s="19"/>
      <c r="X29" s="19"/>
      <c r="Y29" s="19"/>
      <c r="Z29" s="19"/>
      <c r="AA29" s="13"/>
      <c r="AB29" s="3"/>
      <c r="AC29" s="3"/>
      <c r="AD29" s="147"/>
      <c r="AE29" s="70"/>
      <c r="AF29" s="109">
        <f ca="1">H26</f>
        <v>10.10337903069871</v>
      </c>
      <c r="AG29" s="110">
        <f t="shared" si="0"/>
        <v>10</v>
      </c>
      <c r="AH29" s="111">
        <f ca="1">H41</f>
        <v>3.2573557416863075E-2</v>
      </c>
      <c r="AI29" s="63"/>
      <c r="AJ29" s="63"/>
      <c r="AK29" s="63"/>
      <c r="AL29" s="63"/>
      <c r="AM29" s="63"/>
      <c r="AN29" s="63"/>
      <c r="AO29" s="11"/>
      <c r="AP29" s="11"/>
      <c r="AQ29" s="66"/>
      <c r="AR29" s="97"/>
      <c r="AS29" s="97"/>
      <c r="AT29" s="97"/>
      <c r="AU29" s="70"/>
    </row>
    <row r="30" spans="2:47" x14ac:dyDescent="0.25">
      <c r="B30" s="150"/>
      <c r="C30" s="152"/>
      <c r="D30" s="94" t="s">
        <v>78</v>
      </c>
      <c r="E30" s="28">
        <f t="shared" ca="1" si="13"/>
        <v>20.350390769852584</v>
      </c>
      <c r="F30" s="28">
        <f t="shared" ca="1" si="13"/>
        <v>20.044594811398753</v>
      </c>
      <c r="G30" s="28">
        <f t="shared" ca="1" si="13"/>
        <v>20.310698519995757</v>
      </c>
      <c r="H30" s="29">
        <f t="shared" ca="1" si="14"/>
        <v>30.060875531131657</v>
      </c>
      <c r="I30" s="29">
        <f t="shared" ca="1" si="14"/>
        <v>30.079081915003499</v>
      </c>
      <c r="J30" s="29">
        <f t="shared" ca="1" si="14"/>
        <v>30.02797620746566</v>
      </c>
      <c r="K30" s="30">
        <f t="shared" ca="1" si="15"/>
        <v>10.136187777360794</v>
      </c>
      <c r="L30" s="30">
        <f t="shared" ca="1" si="15"/>
        <v>10.013550546130357</v>
      </c>
      <c r="M30" s="30">
        <f t="shared" ca="1" si="15"/>
        <v>10.455880091562912</v>
      </c>
      <c r="N30" s="31">
        <f t="shared" ca="1" si="16"/>
        <v>40.830200413038092</v>
      </c>
      <c r="O30" s="31">
        <f t="shared" ca="1" si="16"/>
        <v>40.29871519128303</v>
      </c>
      <c r="P30" s="31">
        <f t="shared" ca="1" si="16"/>
        <v>40.589216445705119</v>
      </c>
      <c r="Q30" s="33"/>
      <c r="U30" s="1"/>
      <c r="V30" s="4"/>
      <c r="W30" s="19"/>
      <c r="X30" s="19"/>
      <c r="Y30" s="19"/>
      <c r="Z30" s="19"/>
      <c r="AA30" s="13"/>
      <c r="AB30" s="3"/>
      <c r="AC30" s="3"/>
      <c r="AD30" s="147"/>
      <c r="AE30" s="70"/>
      <c r="AF30" s="109">
        <f ca="1">H27</f>
        <v>10.018313482481606</v>
      </c>
      <c r="AG30" s="110">
        <f t="shared" si="0"/>
        <v>10</v>
      </c>
      <c r="AH30" s="111">
        <f ca="1">H42</f>
        <v>5.5460440991273119E-2</v>
      </c>
      <c r="AI30" s="63"/>
      <c r="AJ30" s="63"/>
      <c r="AK30" s="63"/>
      <c r="AL30" s="63"/>
      <c r="AM30" s="63"/>
      <c r="AN30" s="63"/>
      <c r="AO30" s="11"/>
      <c r="AP30" s="11"/>
      <c r="AQ30" s="66"/>
      <c r="AR30" s="97"/>
      <c r="AS30" s="97"/>
      <c r="AT30" s="97"/>
      <c r="AU30" s="70"/>
    </row>
    <row r="31" spans="2:47" x14ac:dyDescent="0.25">
      <c r="B31" s="151"/>
      <c r="C31" s="152"/>
      <c r="D31" s="94" t="s">
        <v>80</v>
      </c>
      <c r="E31" s="28">
        <f t="shared" ca="1" si="13"/>
        <v>20.59684032846781</v>
      </c>
      <c r="F31" s="28">
        <f t="shared" ca="1" si="13"/>
        <v>20.505747182777792</v>
      </c>
      <c r="G31" s="28">
        <f t="shared" ca="1" si="13"/>
        <v>20.562356004070189</v>
      </c>
      <c r="H31" s="29">
        <f t="shared" ca="1" si="14"/>
        <v>30.504624215285652</v>
      </c>
      <c r="I31" s="29">
        <f t="shared" ca="1" si="14"/>
        <v>30.05542269677845</v>
      </c>
      <c r="J31" s="29">
        <f t="shared" ca="1" si="14"/>
        <v>30.693385894782001</v>
      </c>
      <c r="K31" s="30">
        <f t="shared" ca="1" si="15"/>
        <v>10.657435250922806</v>
      </c>
      <c r="L31" s="30">
        <f t="shared" ca="1" si="15"/>
        <v>10.526725801772228</v>
      </c>
      <c r="M31" s="30">
        <f t="shared" ca="1" si="15"/>
        <v>10.125917760842823</v>
      </c>
      <c r="N31" s="31">
        <f t="shared" ca="1" si="16"/>
        <v>40.39316192594265</v>
      </c>
      <c r="O31" s="31">
        <f t="shared" ca="1" si="16"/>
        <v>40.662395809996013</v>
      </c>
      <c r="P31" s="31">
        <f t="shared" ca="1" si="16"/>
        <v>40.381021828453456</v>
      </c>
      <c r="Q31" s="33"/>
      <c r="U31" s="1"/>
      <c r="V31" s="4"/>
      <c r="W31" s="19"/>
      <c r="X31" s="19"/>
      <c r="Y31" s="19"/>
      <c r="Z31" s="19"/>
      <c r="AA31" s="13"/>
      <c r="AB31" s="3"/>
      <c r="AC31" s="3"/>
      <c r="AD31" s="147"/>
      <c r="AE31" s="70"/>
      <c r="AF31" s="109">
        <f ca="1">H28</f>
        <v>10.603071745994699</v>
      </c>
      <c r="AG31" s="110">
        <f t="shared" si="0"/>
        <v>10</v>
      </c>
      <c r="AH31" s="111">
        <f ca="1">H43</f>
        <v>9.9983042814111966E-2</v>
      </c>
      <c r="AI31" s="63"/>
      <c r="AJ31" s="63"/>
      <c r="AK31" s="63"/>
      <c r="AL31" s="63"/>
      <c r="AM31" s="63"/>
      <c r="AN31" s="63"/>
      <c r="AO31" s="11"/>
      <c r="AP31" s="11"/>
      <c r="AQ31" s="66"/>
      <c r="AR31" s="97"/>
      <c r="AS31" s="97"/>
      <c r="AT31" s="97"/>
      <c r="AU31" s="70"/>
    </row>
    <row r="32" spans="2:47" x14ac:dyDescent="0.25">
      <c r="U32" s="13"/>
      <c r="V32" s="13"/>
      <c r="W32" s="13"/>
      <c r="X32" s="13"/>
      <c r="Y32" s="13"/>
      <c r="Z32" s="13"/>
      <c r="AA32" s="13"/>
      <c r="AB32" s="32"/>
      <c r="AC32" s="32"/>
      <c r="AD32" s="147"/>
      <c r="AE32" s="70"/>
      <c r="AF32" s="109">
        <f ca="1">I26</f>
        <v>10.325735574168631</v>
      </c>
      <c r="AG32" s="110">
        <f t="shared" si="0"/>
        <v>10</v>
      </c>
      <c r="AH32" s="111">
        <f ca="1">K44</f>
        <v>9.2990751304840025E-2</v>
      </c>
      <c r="AI32" s="63"/>
      <c r="AJ32" s="63"/>
      <c r="AK32" s="63"/>
      <c r="AL32" s="63"/>
      <c r="AM32" s="63"/>
      <c r="AN32" s="63"/>
      <c r="AO32" s="11"/>
      <c r="AP32" s="11"/>
      <c r="AQ32" s="66"/>
      <c r="AR32" s="97"/>
      <c r="AS32" s="97"/>
      <c r="AT32" s="97"/>
      <c r="AU32" s="70"/>
    </row>
    <row r="33" spans="2:47" x14ac:dyDescent="0.25">
      <c r="B33" s="159" t="s">
        <v>31</v>
      </c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  <c r="P33" s="9"/>
      <c r="Q33" s="69"/>
      <c r="R33" s="70"/>
      <c r="S33" s="70"/>
      <c r="U33" s="4"/>
      <c r="V33" s="4"/>
      <c r="W33" s="4"/>
      <c r="X33" s="4"/>
      <c r="Y33" s="4"/>
      <c r="Z33" s="4"/>
      <c r="AA33" s="13"/>
      <c r="AB33" s="34"/>
      <c r="AC33" s="32"/>
      <c r="AD33" s="147"/>
      <c r="AE33" s="70"/>
      <c r="AF33" s="109">
        <f ca="1">I27</f>
        <v>10.554604409912731</v>
      </c>
      <c r="AG33" s="110">
        <f t="shared" si="0"/>
        <v>10</v>
      </c>
      <c r="AH33" s="111">
        <f ca="1">K45</f>
        <v>1.3550546130356445E-3</v>
      </c>
      <c r="AI33" s="63"/>
      <c r="AJ33" s="63"/>
      <c r="AK33" s="63"/>
      <c r="AL33" s="63"/>
      <c r="AM33" s="63"/>
      <c r="AN33" s="63"/>
      <c r="AO33" s="11"/>
      <c r="AP33" s="11"/>
      <c r="AQ33" s="66"/>
      <c r="AR33" s="97"/>
      <c r="AS33" s="97"/>
      <c r="AT33" s="97"/>
      <c r="AU33" s="70"/>
    </row>
    <row r="34" spans="2:47" x14ac:dyDescent="0.25">
      <c r="B34" s="130" t="s">
        <v>1</v>
      </c>
      <c r="C34" s="88" t="s">
        <v>2</v>
      </c>
      <c r="D34" s="158" t="s">
        <v>3</v>
      </c>
      <c r="E34" s="158"/>
      <c r="F34" s="158"/>
      <c r="G34" s="158" t="s">
        <v>4</v>
      </c>
      <c r="H34" s="158"/>
      <c r="I34" s="158"/>
      <c r="J34" s="158" t="s">
        <v>5</v>
      </c>
      <c r="K34" s="158"/>
      <c r="L34" s="158"/>
      <c r="M34" s="158" t="s">
        <v>6</v>
      </c>
      <c r="N34" s="158"/>
      <c r="O34" s="158"/>
      <c r="P34" s="70"/>
      <c r="Q34" s="70"/>
      <c r="R34" s="70"/>
      <c r="S34" s="70"/>
      <c r="U34" s="14"/>
      <c r="V34" s="14"/>
      <c r="W34" s="14"/>
      <c r="X34" s="14"/>
      <c r="Y34" s="14"/>
      <c r="Z34" s="14"/>
      <c r="AA34" s="13"/>
      <c r="AB34" s="34"/>
      <c r="AC34" s="35"/>
      <c r="AD34" s="147"/>
      <c r="AE34" s="70"/>
      <c r="AF34" s="109">
        <f ca="1">I28</f>
        <v>10.99983042814112</v>
      </c>
      <c r="AG34" s="110">
        <f t="shared" si="0"/>
        <v>10</v>
      </c>
      <c r="AH34" s="111">
        <f ca="1">K46</f>
        <v>5.2672580177222761E-2</v>
      </c>
      <c r="AI34" s="63"/>
      <c r="AJ34" s="63"/>
      <c r="AK34" s="63"/>
      <c r="AL34" s="63"/>
      <c r="AM34" s="63"/>
      <c r="AN34" s="63"/>
      <c r="AO34" s="11"/>
      <c r="AP34" s="11"/>
      <c r="AQ34" s="66"/>
      <c r="AR34" s="97"/>
      <c r="AS34" s="97"/>
      <c r="AT34" s="97"/>
      <c r="AU34" s="70"/>
    </row>
    <row r="35" spans="2:47" x14ac:dyDescent="0.25">
      <c r="B35" s="131"/>
      <c r="C35" s="133" t="s">
        <v>7</v>
      </c>
      <c r="D35" s="36">
        <f t="shared" ref="D35:F37" ca="1" si="17">(E20/$R$27)-1</f>
        <v>2.8577416316211579E-2</v>
      </c>
      <c r="E35" s="36">
        <f t="shared" ca="1" si="17"/>
        <v>1.5193336781910372E-2</v>
      </c>
      <c r="F35" s="36">
        <f t="shared" ca="1" si="17"/>
        <v>2.2203701017297073E-2</v>
      </c>
      <c r="G35" s="8">
        <f t="shared" ref="G35:I37" ca="1" si="18">(H20/$R$26)-1</f>
        <v>1.2314672139187355E-2</v>
      </c>
      <c r="H35" s="8">
        <f t="shared" ca="1" si="18"/>
        <v>3.4751252371905128E-2</v>
      </c>
      <c r="I35" s="8">
        <f t="shared" ca="1" si="18"/>
        <v>2.6458094528547083E-2</v>
      </c>
      <c r="J35" s="8">
        <f t="shared" ref="J35:L37" ca="1" si="19">(K20/$R$28)-1</f>
        <v>1.1061441073434874E-2</v>
      </c>
      <c r="K35" s="8">
        <f t="shared" ca="1" si="19"/>
        <v>1.9484245146348611E-2</v>
      </c>
      <c r="L35" s="8">
        <f t="shared" ca="1" si="19"/>
        <v>4.114055227123492E-3</v>
      </c>
      <c r="M35" s="8">
        <f t="shared" ref="M35:O37" ca="1" si="20">(N20/$R$25)-1</f>
        <v>3.3337438653720186E-2</v>
      </c>
      <c r="N35" s="8">
        <f t="shared" ca="1" si="20"/>
        <v>9.6014815408783871E-2</v>
      </c>
      <c r="O35" s="8">
        <f t="shared" ca="1" si="20"/>
        <v>2.0432126669228889E-2</v>
      </c>
      <c r="P35" s="134">
        <f ca="1">SUM(D35:O37)</f>
        <v>0.90463035630498156</v>
      </c>
      <c r="R35" s="70"/>
      <c r="S35" s="70"/>
      <c r="U35" s="1"/>
      <c r="V35" s="14"/>
      <c r="W35" s="19"/>
      <c r="X35" s="19"/>
      <c r="Y35" s="19"/>
      <c r="Z35" s="19"/>
      <c r="AA35" s="13"/>
      <c r="AB35" s="1"/>
      <c r="AC35" s="14"/>
      <c r="AD35" s="147"/>
      <c r="AE35" s="70"/>
      <c r="AF35" s="109">
        <f ca="1">J26</f>
        <v>10.469696349156399</v>
      </c>
      <c r="AG35" s="110">
        <f t="shared" si="0"/>
        <v>10</v>
      </c>
      <c r="AH35" s="111">
        <f ca="1">O35</f>
        <v>2.0432126669228889E-2</v>
      </c>
      <c r="AI35" s="63"/>
      <c r="AJ35" s="63"/>
      <c r="AK35" s="63"/>
      <c r="AL35" s="63"/>
      <c r="AM35" s="63"/>
      <c r="AN35" s="63"/>
      <c r="AO35" s="66"/>
      <c r="AP35" s="66"/>
      <c r="AQ35" s="66"/>
      <c r="AR35" s="97"/>
      <c r="AS35" s="97"/>
      <c r="AT35" s="97"/>
      <c r="AU35" s="70"/>
    </row>
    <row r="36" spans="2:47" x14ac:dyDescent="0.25">
      <c r="B36" s="131"/>
      <c r="C36" s="133"/>
      <c r="D36" s="36">
        <f t="shared" ca="1" si="17"/>
        <v>3.1605427110412698E-3</v>
      </c>
      <c r="E36" s="36">
        <f t="shared" ca="1" si="17"/>
        <v>2.8730142578865081E-2</v>
      </c>
      <c r="F36" s="36">
        <f t="shared" ca="1" si="17"/>
        <v>2.8305507097472038E-2</v>
      </c>
      <c r="G36" s="8">
        <f t="shared" ca="1" si="18"/>
        <v>2.8416486735774127E-2</v>
      </c>
      <c r="H36" s="8">
        <f t="shared" ca="1" si="18"/>
        <v>1.5119272304753295E-4</v>
      </c>
      <c r="I36" s="8">
        <f t="shared" ca="1" si="18"/>
        <v>2.6545971103396626E-2</v>
      </c>
      <c r="J36" s="8">
        <f t="shared" ca="1" si="19"/>
        <v>1.2262729716859821E-2</v>
      </c>
      <c r="K36" s="8">
        <f t="shared" ca="1" si="19"/>
        <v>1.3142916813504879E-2</v>
      </c>
      <c r="L36" s="8">
        <f t="shared" ca="1" si="19"/>
        <v>1.0766143411274687E-2</v>
      </c>
      <c r="M36" s="8">
        <f t="shared" ca="1" si="20"/>
        <v>2.5895733656035258E-2</v>
      </c>
      <c r="N36" s="8">
        <f t="shared" ca="1" si="20"/>
        <v>1.9873804208232704E-2</v>
      </c>
      <c r="O36" s="8">
        <f t="shared" ca="1" si="20"/>
        <v>7.2262475987972419E-2</v>
      </c>
      <c r="P36" s="134"/>
      <c r="R36" s="70"/>
      <c r="S36" s="70"/>
      <c r="U36" s="1"/>
      <c r="V36" s="14"/>
      <c r="W36" s="19"/>
      <c r="X36" s="19"/>
      <c r="Y36" s="19"/>
      <c r="Z36" s="19"/>
      <c r="AA36" s="13"/>
      <c r="AB36" s="1"/>
      <c r="AC36" s="14"/>
      <c r="AD36" s="147"/>
      <c r="AE36" s="70"/>
      <c r="AF36" s="109">
        <f ca="1">J27</f>
        <v>10.667047261232709</v>
      </c>
      <c r="AG36" s="110">
        <f t="shared" si="0"/>
        <v>10</v>
      </c>
      <c r="AH36" s="111">
        <f ca="1">O36</f>
        <v>7.2262475987972419E-2</v>
      </c>
      <c r="AI36" s="63"/>
      <c r="AJ36" s="63"/>
      <c r="AK36" s="63"/>
      <c r="AL36" s="63"/>
      <c r="AM36" s="63"/>
      <c r="AN36" s="63"/>
      <c r="AO36" s="66"/>
      <c r="AP36" s="66"/>
      <c r="AQ36" s="66"/>
      <c r="AR36" s="97"/>
      <c r="AS36" s="97"/>
      <c r="AT36" s="97"/>
      <c r="AU36" s="70"/>
    </row>
    <row r="37" spans="2:47" x14ac:dyDescent="0.25">
      <c r="B37" s="131"/>
      <c r="C37" s="133"/>
      <c r="D37" s="36">
        <f t="shared" ca="1" si="17"/>
        <v>3.0864415856013183E-2</v>
      </c>
      <c r="E37" s="36">
        <f t="shared" ca="1" si="17"/>
        <v>2.022143635260476E-2</v>
      </c>
      <c r="F37" s="36">
        <f t="shared" ca="1" si="17"/>
        <v>1.2865976226342779E-2</v>
      </c>
      <c r="G37" s="8">
        <f t="shared" ca="1" si="18"/>
        <v>1.6925277234565161E-3</v>
      </c>
      <c r="H37" s="8">
        <f t="shared" ca="1" si="18"/>
        <v>3.3732839204046572E-2</v>
      </c>
      <c r="I37" s="8">
        <f t="shared" ca="1" si="18"/>
        <v>2.574531210697617E-2</v>
      </c>
      <c r="J37" s="8">
        <f t="shared" ca="1" si="19"/>
        <v>1.2779274873282453E-3</v>
      </c>
      <c r="K37" s="8">
        <f t="shared" ca="1" si="19"/>
        <v>1.8198882472197031E-2</v>
      </c>
      <c r="L37" s="8">
        <f t="shared" ca="1" si="19"/>
        <v>2.2941502017257642E-2</v>
      </c>
      <c r="M37" s="8">
        <f t="shared" ca="1" si="20"/>
        <v>1.3896342714584176E-2</v>
      </c>
      <c r="N37" s="8">
        <f t="shared" ca="1" si="20"/>
        <v>9.6073787572219072E-2</v>
      </c>
      <c r="O37" s="8">
        <f t="shared" ca="1" si="20"/>
        <v>3.3663164494780462E-2</v>
      </c>
      <c r="P37" s="134"/>
      <c r="R37" s="71"/>
      <c r="S37" s="70"/>
      <c r="U37" s="1"/>
      <c r="V37" s="14"/>
      <c r="W37" s="19"/>
      <c r="X37" s="19"/>
      <c r="Y37" s="19"/>
      <c r="Z37" s="19"/>
      <c r="AA37" s="13" t="s">
        <v>35</v>
      </c>
      <c r="AB37" s="1"/>
      <c r="AC37" s="14"/>
      <c r="AD37" s="147"/>
      <c r="AE37" s="70"/>
      <c r="AF37" s="109">
        <f ca="1">J28</f>
        <v>10.377800934339518</v>
      </c>
      <c r="AG37" s="110">
        <f t="shared" si="0"/>
        <v>10</v>
      </c>
      <c r="AH37" s="111">
        <f ca="1">O37</f>
        <v>3.3663164494780462E-2</v>
      </c>
      <c r="AI37" s="63"/>
      <c r="AJ37" s="63"/>
      <c r="AK37" s="63"/>
      <c r="AL37" s="63"/>
      <c r="AM37" s="63"/>
      <c r="AN37" s="63"/>
      <c r="AO37" s="11"/>
      <c r="AP37" s="11"/>
      <c r="AQ37" s="66"/>
      <c r="AR37" s="97"/>
      <c r="AS37" s="97"/>
      <c r="AT37" s="97"/>
      <c r="AU37" s="70"/>
    </row>
    <row r="38" spans="2:47" x14ac:dyDescent="0.25">
      <c r="B38" s="131"/>
      <c r="C38" s="133" t="s">
        <v>8</v>
      </c>
      <c r="D38" s="36">
        <f t="shared" ref="D38:F40" ca="1" si="21">(E23/$R$25)-1</f>
        <v>2.1975015830814071E-2</v>
      </c>
      <c r="E38" s="36">
        <f t="shared" ca="1" si="21"/>
        <v>5.8763423454026631E-2</v>
      </c>
      <c r="F38" s="36">
        <f t="shared" ca="1" si="21"/>
        <v>5.6695982837835945E-2</v>
      </c>
      <c r="G38" s="8">
        <f t="shared" ref="G38:I40" ca="1" si="22">(H23/$R$28)-1</f>
        <v>1.7458942045070369E-2</v>
      </c>
      <c r="H38" s="8">
        <f t="shared" ca="1" si="22"/>
        <v>2.3410839638628556E-2</v>
      </c>
      <c r="I38" s="8">
        <f t="shared" ca="1" si="22"/>
        <v>1.8562536383268435E-2</v>
      </c>
      <c r="J38" s="8">
        <f t="shared" ref="J38:L40" ca="1" si="23">(K23/$R$26)-1</f>
        <v>4.6638033239963184E-2</v>
      </c>
      <c r="K38" s="8">
        <f t="shared" ca="1" si="23"/>
        <v>4.8110855183265411E-3</v>
      </c>
      <c r="L38" s="8">
        <f t="shared" ca="1" si="23"/>
        <v>1.2627543146889852E-2</v>
      </c>
      <c r="M38" s="8">
        <f t="shared" ref="M38:O40" ca="1" si="24">(N23/$R$27)-1</f>
        <v>9.7167780371951729E-3</v>
      </c>
      <c r="N38" s="8">
        <f t="shared" ca="1" si="24"/>
        <v>3.2145187713517265E-2</v>
      </c>
      <c r="O38" s="8">
        <f t="shared" ca="1" si="24"/>
        <v>2.7634299989907074E-3</v>
      </c>
      <c r="P38" s="134">
        <f t="shared" ref="P38" ca="1" si="25">SUM(D38:O40)</f>
        <v>0.87779309741039202</v>
      </c>
      <c r="R38" s="71"/>
      <c r="S38" s="70"/>
      <c r="U38" s="1"/>
      <c r="V38" s="14"/>
      <c r="W38" s="19"/>
      <c r="X38" s="19"/>
      <c r="Y38" s="19"/>
      <c r="Z38" s="19"/>
      <c r="AA38" s="13"/>
      <c r="AB38" s="1"/>
      <c r="AC38" s="14"/>
      <c r="AD38" s="147"/>
      <c r="AE38" s="70"/>
      <c r="AF38" s="109">
        <f ca="1">K29</f>
        <v>10.701453166294305</v>
      </c>
      <c r="AG38" s="110">
        <f t="shared" si="0"/>
        <v>10</v>
      </c>
      <c r="AH38" s="111">
        <f ca="1">F38</f>
        <v>5.6695982837835945E-2</v>
      </c>
      <c r="AI38" s="63"/>
      <c r="AJ38" s="63"/>
      <c r="AK38" s="63"/>
      <c r="AL38" s="63"/>
      <c r="AM38" s="63"/>
      <c r="AN38" s="63"/>
      <c r="AO38" s="11"/>
      <c r="AP38" s="11"/>
      <c r="AQ38" s="66"/>
      <c r="AR38" s="97"/>
      <c r="AS38" s="97"/>
      <c r="AT38" s="97"/>
      <c r="AU38" s="70"/>
    </row>
    <row r="39" spans="2:47" x14ac:dyDescent="0.25">
      <c r="B39" s="131"/>
      <c r="C39" s="133"/>
      <c r="D39" s="36">
        <f t="shared" ca="1" si="21"/>
        <v>7.3439276543982857E-3</v>
      </c>
      <c r="E39" s="36">
        <f t="shared" ca="1" si="21"/>
        <v>7.6778011458356499E-2</v>
      </c>
      <c r="F39" s="36">
        <f t="shared" ca="1" si="21"/>
        <v>3.397275650045839E-2</v>
      </c>
      <c r="G39" s="8">
        <f t="shared" ca="1" si="22"/>
        <v>1.63738728912044E-2</v>
      </c>
      <c r="H39" s="8">
        <f t="shared" ca="1" si="22"/>
        <v>1.806723204551397E-2</v>
      </c>
      <c r="I39" s="8">
        <f t="shared" ca="1" si="22"/>
        <v>1.0891159815987983E-2</v>
      </c>
      <c r="J39" s="8">
        <f t="shared" ca="1" si="23"/>
        <v>1.1299111499776249E-2</v>
      </c>
      <c r="K39" s="8">
        <f t="shared" ca="1" si="23"/>
        <v>4.1099131303985015E-2</v>
      </c>
      <c r="L39" s="8">
        <f t="shared" ca="1" si="23"/>
        <v>2.4079917283281738E-3</v>
      </c>
      <c r="M39" s="8">
        <f t="shared" ca="1" si="24"/>
        <v>1.3607062976408457E-2</v>
      </c>
      <c r="N39" s="8">
        <f t="shared" ca="1" si="24"/>
        <v>1.1874720471025668E-2</v>
      </c>
      <c r="O39" s="8">
        <f t="shared" ca="1" si="24"/>
        <v>2.3904375804533196E-3</v>
      </c>
      <c r="P39" s="134"/>
      <c r="R39" s="71"/>
      <c r="S39" s="70"/>
      <c r="U39" s="1"/>
      <c r="V39" s="14"/>
      <c r="W39" s="19"/>
      <c r="X39" s="19"/>
      <c r="Y39" s="19"/>
      <c r="Z39" s="19"/>
      <c r="AA39" s="13"/>
      <c r="AB39" s="1"/>
      <c r="AC39" s="14"/>
      <c r="AD39" s="147"/>
      <c r="AE39" s="70"/>
      <c r="AF39" s="109">
        <f ca="1">K30</f>
        <v>10.136187777360794</v>
      </c>
      <c r="AG39" s="110">
        <f t="shared" si="0"/>
        <v>10</v>
      </c>
      <c r="AH39" s="111">
        <f ca="1">F39</f>
        <v>3.397275650045839E-2</v>
      </c>
      <c r="AI39" s="63"/>
      <c r="AJ39" s="63"/>
      <c r="AK39" s="63"/>
      <c r="AL39" s="63"/>
      <c r="AM39" s="63"/>
      <c r="AN39" s="63"/>
      <c r="AO39" s="11"/>
      <c r="AP39" s="11"/>
      <c r="AQ39" s="66"/>
      <c r="AR39" s="97"/>
      <c r="AS39" s="97"/>
      <c r="AT39" s="97"/>
      <c r="AU39" s="70"/>
    </row>
    <row r="40" spans="2:47" x14ac:dyDescent="0.25">
      <c r="B40" s="131"/>
      <c r="C40" s="133"/>
      <c r="D40" s="36">
        <f t="shared" ca="1" si="21"/>
        <v>8.9765622674107037E-2</v>
      </c>
      <c r="E40" s="36">
        <f t="shared" ca="1" si="21"/>
        <v>9.1217171815982656E-2</v>
      </c>
      <c r="F40" s="36">
        <f t="shared" ca="1" si="21"/>
        <v>5.8582210985536065E-5</v>
      </c>
      <c r="G40" s="8">
        <f t="shared" ca="1" si="22"/>
        <v>6.6321250249972152E-3</v>
      </c>
      <c r="H40" s="8">
        <f t="shared" ca="1" si="22"/>
        <v>5.2410641774063293E-3</v>
      </c>
      <c r="I40" s="8">
        <f t="shared" ca="1" si="22"/>
        <v>4.0605428301097035E-3</v>
      </c>
      <c r="J40" s="8">
        <f t="shared" ca="1" si="23"/>
        <v>2.5362458470152172E-2</v>
      </c>
      <c r="K40" s="8">
        <f t="shared" ca="1" si="23"/>
        <v>2.7163235305436739E-2</v>
      </c>
      <c r="L40" s="8">
        <f t="shared" ca="1" si="23"/>
        <v>1.6082698260109218E-2</v>
      </c>
      <c r="M40" s="8">
        <f t="shared" ca="1" si="24"/>
        <v>2.6977720121477144E-2</v>
      </c>
      <c r="N40" s="8">
        <f t="shared" ca="1" si="24"/>
        <v>1.8219153379251507E-2</v>
      </c>
      <c r="O40" s="8">
        <f t="shared" ca="1" si="24"/>
        <v>1.5338509369953623E-2</v>
      </c>
      <c r="P40" s="134"/>
      <c r="R40" s="71"/>
      <c r="S40" s="70"/>
      <c r="U40" s="1"/>
      <c r="V40" s="14"/>
      <c r="W40" s="19"/>
      <c r="X40" s="19"/>
      <c r="Y40" s="19"/>
      <c r="Z40" s="19"/>
      <c r="AA40" s="13"/>
      <c r="AB40" s="1"/>
      <c r="AC40" s="14"/>
      <c r="AD40" s="147"/>
      <c r="AE40" s="70"/>
      <c r="AF40" s="109">
        <f ca="1">K31</f>
        <v>10.657435250922806</v>
      </c>
      <c r="AG40" s="110">
        <f t="shared" si="0"/>
        <v>10</v>
      </c>
      <c r="AH40" s="111">
        <f ca="1">F40</f>
        <v>5.8582210985536065E-5</v>
      </c>
      <c r="AI40" s="63"/>
      <c r="AJ40" s="63"/>
      <c r="AK40" s="63"/>
      <c r="AL40" s="63"/>
      <c r="AM40" s="63"/>
      <c r="AN40" s="63"/>
      <c r="AO40" s="11"/>
      <c r="AP40" s="11"/>
      <c r="AQ40" s="66"/>
      <c r="AR40" s="97"/>
      <c r="AS40" s="97"/>
      <c r="AT40" s="97"/>
      <c r="AU40" s="70"/>
    </row>
    <row r="41" spans="2:47" x14ac:dyDescent="0.25">
      <c r="B41" s="131"/>
      <c r="C41" s="133" t="s">
        <v>9</v>
      </c>
      <c r="D41" s="36">
        <f t="shared" ref="D41:F43" ca="1" si="26">(E26/$R$28)-1</f>
        <v>1.3512434344333135E-2</v>
      </c>
      <c r="E41" s="36">
        <f t="shared" ca="1" si="26"/>
        <v>2.1404720428081614E-2</v>
      </c>
      <c r="F41" s="36">
        <f t="shared" ca="1" si="26"/>
        <v>1.0454709685077557E-2</v>
      </c>
      <c r="G41" s="8">
        <f t="shared" ref="G41:I43" ca="1" si="27">(H26/$R$25)-1</f>
        <v>1.0337903069870924E-2</v>
      </c>
      <c r="H41" s="8">
        <f t="shared" ca="1" si="27"/>
        <v>3.2573557416863075E-2</v>
      </c>
      <c r="I41" s="8">
        <f t="shared" ca="1" si="27"/>
        <v>4.696963491563988E-2</v>
      </c>
      <c r="J41" s="8">
        <f t="shared" ref="J41:L43" ca="1" si="28">(K26/$R$27)-1</f>
        <v>2.253234440695473E-2</v>
      </c>
      <c r="K41" s="8">
        <f t="shared" ca="1" si="28"/>
        <v>8.2669161993709217E-4</v>
      </c>
      <c r="L41" s="8">
        <f t="shared" ca="1" si="28"/>
        <v>2.7170107366013996E-2</v>
      </c>
      <c r="M41" s="8">
        <f t="shared" ref="M41:O43" ca="1" si="29">(N26/$R$26)-1</f>
        <v>2.9435581975142844E-2</v>
      </c>
      <c r="N41" s="8">
        <f t="shared" ca="1" si="29"/>
        <v>3.9412327119900947E-3</v>
      </c>
      <c r="O41" s="8">
        <f t="shared" ca="1" si="29"/>
        <v>3.1459315013941946E-3</v>
      </c>
      <c r="P41" s="134">
        <f t="shared" ref="P41" ca="1" si="30">SUM(D41:O43)</f>
        <v>0.85210334646420605</v>
      </c>
      <c r="R41" s="71"/>
      <c r="S41" s="70"/>
      <c r="U41" s="1"/>
      <c r="V41" s="14"/>
      <c r="W41" s="19"/>
      <c r="X41" s="19"/>
      <c r="Y41" s="19"/>
      <c r="Z41" s="19"/>
      <c r="AA41" s="13"/>
      <c r="AB41" s="1"/>
      <c r="AC41" s="14"/>
      <c r="AD41" s="147"/>
      <c r="AE41" s="70"/>
      <c r="AF41" s="109">
        <f ca="1">L29</f>
        <v>10.9299075130484</v>
      </c>
      <c r="AG41" s="110">
        <f t="shared" si="0"/>
        <v>10</v>
      </c>
      <c r="AH41" s="111">
        <f ca="1">I41</f>
        <v>4.696963491563988E-2</v>
      </c>
      <c r="AI41" s="63"/>
      <c r="AJ41" s="63"/>
      <c r="AK41" s="63"/>
      <c r="AL41" s="63"/>
      <c r="AM41" s="63"/>
      <c r="AN41" s="63"/>
      <c r="AO41" s="11"/>
      <c r="AP41" s="11"/>
      <c r="AQ41" s="66"/>
      <c r="AR41" s="97"/>
      <c r="AS41" s="97"/>
      <c r="AT41" s="97"/>
      <c r="AU41" s="70"/>
    </row>
    <row r="42" spans="2:47" x14ac:dyDescent="0.25">
      <c r="B42" s="131"/>
      <c r="C42" s="133"/>
      <c r="D42" s="36">
        <f t="shared" ca="1" si="26"/>
        <v>5.4019293290821224E-3</v>
      </c>
      <c r="E42" s="36">
        <f t="shared" ca="1" si="26"/>
        <v>5.9449083108837897E-3</v>
      </c>
      <c r="F42" s="36">
        <f t="shared" ca="1" si="26"/>
        <v>8.6893831633880758E-3</v>
      </c>
      <c r="G42" s="8">
        <f t="shared" ca="1" si="27"/>
        <v>1.8313482481606691E-3</v>
      </c>
      <c r="H42" s="8">
        <f t="shared" ca="1" si="27"/>
        <v>5.5460440991273119E-2</v>
      </c>
      <c r="I42" s="8">
        <f t="shared" ca="1" si="27"/>
        <v>6.6704726123270941E-2</v>
      </c>
      <c r="J42" s="8">
        <f t="shared" ca="1" si="28"/>
        <v>1.9134484967676224E-2</v>
      </c>
      <c r="K42" s="8">
        <f t="shared" ca="1" si="28"/>
        <v>2.610475972745907E-2</v>
      </c>
      <c r="L42" s="8">
        <f t="shared" ca="1" si="28"/>
        <v>1.3482926903016779E-3</v>
      </c>
      <c r="M42" s="8">
        <f t="shared" ca="1" si="29"/>
        <v>2.9211863335643073E-2</v>
      </c>
      <c r="N42" s="8">
        <f t="shared" ca="1" si="29"/>
        <v>3.3983456638042586E-2</v>
      </c>
      <c r="O42" s="8">
        <f t="shared" ca="1" si="29"/>
        <v>8.0281258878189821E-3</v>
      </c>
      <c r="P42" s="134"/>
      <c r="R42" s="71"/>
      <c r="S42" s="70"/>
      <c r="U42" s="1"/>
      <c r="V42" s="14"/>
      <c r="W42" s="19"/>
      <c r="X42" s="19"/>
      <c r="Y42" s="19"/>
      <c r="Z42" s="19"/>
      <c r="AA42" s="13"/>
      <c r="AB42" s="1"/>
      <c r="AC42" s="14"/>
      <c r="AD42" s="147"/>
      <c r="AE42" s="70"/>
      <c r="AF42" s="109">
        <f ca="1">L30</f>
        <v>10.013550546130357</v>
      </c>
      <c r="AG42" s="110">
        <f t="shared" si="0"/>
        <v>10</v>
      </c>
      <c r="AH42" s="111">
        <f ca="1">I42</f>
        <v>6.6704726123270941E-2</v>
      </c>
      <c r="AI42" s="63"/>
      <c r="AJ42" s="63"/>
      <c r="AK42" s="63"/>
      <c r="AL42" s="63"/>
      <c r="AM42" s="63"/>
      <c r="AN42" s="63"/>
      <c r="AO42" s="11"/>
      <c r="AP42" s="11"/>
      <c r="AQ42" s="66"/>
      <c r="AR42" s="97"/>
      <c r="AS42" s="97"/>
      <c r="AT42" s="97"/>
      <c r="AU42" s="70"/>
    </row>
    <row r="43" spans="2:47" x14ac:dyDescent="0.25">
      <c r="B43" s="131"/>
      <c r="C43" s="133"/>
      <c r="D43" s="36">
        <f t="shared" ca="1" si="26"/>
        <v>1.5702311629923082E-2</v>
      </c>
      <c r="E43" s="36">
        <f t="shared" ca="1" si="26"/>
        <v>2.0331609545979124E-2</v>
      </c>
      <c r="F43" s="36">
        <f t="shared" ca="1" si="26"/>
        <v>2.1437368375577526E-2</v>
      </c>
      <c r="G43" s="8">
        <f t="shared" ca="1" si="27"/>
        <v>6.0307174599469882E-2</v>
      </c>
      <c r="H43" s="8">
        <f t="shared" ca="1" si="27"/>
        <v>9.9983042814111966E-2</v>
      </c>
      <c r="I43" s="8">
        <f t="shared" ca="1" si="27"/>
        <v>3.7780093433951834E-2</v>
      </c>
      <c r="J43" s="8">
        <f t="shared" ca="1" si="28"/>
        <v>2.7812703312342979E-2</v>
      </c>
      <c r="K43" s="8">
        <f t="shared" ca="1" si="28"/>
        <v>3.8759124489553543E-3</v>
      </c>
      <c r="L43" s="8">
        <f t="shared" ca="1" si="28"/>
        <v>2.7949226488885426E-2</v>
      </c>
      <c r="M43" s="8">
        <f t="shared" ca="1" si="29"/>
        <v>7.5849039530817564E-4</v>
      </c>
      <c r="N43" s="8">
        <f t="shared" ca="1" si="29"/>
        <v>2.5366750241045288E-2</v>
      </c>
      <c r="O43" s="8">
        <f t="shared" ca="1" si="29"/>
        <v>2.6650094324355944E-2</v>
      </c>
      <c r="P43" s="134"/>
      <c r="R43" s="71"/>
      <c r="S43" s="70"/>
      <c r="U43" s="1"/>
      <c r="V43" s="14"/>
      <c r="W43" s="19"/>
      <c r="X43" s="19"/>
      <c r="Y43" s="19"/>
      <c r="Z43" s="19"/>
      <c r="AA43" s="13"/>
      <c r="AB43" s="1"/>
      <c r="AC43" s="14"/>
      <c r="AD43" s="147"/>
      <c r="AE43" s="70"/>
      <c r="AF43" s="109">
        <f ca="1">L31</f>
        <v>10.526725801772228</v>
      </c>
      <c r="AG43" s="110">
        <f t="shared" si="0"/>
        <v>10</v>
      </c>
      <c r="AH43" s="111">
        <f ca="1">I43</f>
        <v>3.7780093433951834E-2</v>
      </c>
      <c r="AI43" s="63"/>
      <c r="AJ43" s="63"/>
      <c r="AK43" s="63"/>
      <c r="AL43" s="63"/>
      <c r="AM43" s="63"/>
      <c r="AN43" s="63"/>
      <c r="AO43" s="11"/>
      <c r="AP43" s="11"/>
      <c r="AQ43" s="66"/>
      <c r="AR43" s="97"/>
      <c r="AS43" s="97"/>
      <c r="AT43" s="97"/>
      <c r="AU43" s="70"/>
    </row>
    <row r="44" spans="2:47" x14ac:dyDescent="0.25">
      <c r="B44" s="131"/>
      <c r="C44" s="133" t="s">
        <v>10</v>
      </c>
      <c r="D44" s="36">
        <f t="shared" ref="D44:F46" ca="1" si="31">(E29/$R$26)-1</f>
        <v>4.598759045175127E-2</v>
      </c>
      <c r="E44" s="36">
        <f t="shared" ca="1" si="31"/>
        <v>8.8186372584386774E-3</v>
      </c>
      <c r="F44" s="36">
        <f t="shared" ca="1" si="31"/>
        <v>3.436662316697392E-2</v>
      </c>
      <c r="G44" s="8">
        <f t="shared" ref="G44:I46" ca="1" si="32">(H29/$R$27)-1</f>
        <v>7.9815143628085838E-3</v>
      </c>
      <c r="H44" s="8">
        <f t="shared" ca="1" si="32"/>
        <v>1.8038041000511651E-2</v>
      </c>
      <c r="I44" s="8">
        <f t="shared" ca="1" si="32"/>
        <v>1.1361044790987984E-2</v>
      </c>
      <c r="J44" s="8">
        <f t="shared" ref="J44:L46" ca="1" si="33">(K29/$R$25)-1</f>
        <v>7.0145316629430576E-2</v>
      </c>
      <c r="K44" s="8">
        <f t="shared" ca="1" si="33"/>
        <v>9.2990751304840025E-2</v>
      </c>
      <c r="L44" s="8">
        <f t="shared" ca="1" si="33"/>
        <v>3.7832563044065015E-2</v>
      </c>
      <c r="M44" s="8">
        <f t="shared" ref="M44:O46" ca="1" si="34">(N29/$R$28)-1</f>
        <v>3.1959088127164748E-4</v>
      </c>
      <c r="N44" s="8">
        <f t="shared" ca="1" si="34"/>
        <v>1.9517548508119598E-2</v>
      </c>
      <c r="O44" s="8">
        <f t="shared" ca="1" si="34"/>
        <v>2.3041397855275259E-2</v>
      </c>
      <c r="P44" s="134">
        <f t="shared" ref="P44" ca="1" si="35">SUM(D44:O46)</f>
        <v>0.80674839531716702</v>
      </c>
      <c r="T44" s="72"/>
      <c r="U44" s="1"/>
      <c r="V44" s="14"/>
      <c r="W44" s="19"/>
      <c r="X44" s="19"/>
      <c r="Y44" s="19"/>
      <c r="Z44" s="19"/>
      <c r="AA44" s="13"/>
      <c r="AB44" s="1"/>
      <c r="AC44" s="14"/>
      <c r="AD44" s="147"/>
      <c r="AE44" s="70"/>
      <c r="AF44" s="109">
        <f ca="1">M29</f>
        <v>10.378325630440649</v>
      </c>
      <c r="AG44" s="110">
        <f t="shared" si="0"/>
        <v>10</v>
      </c>
      <c r="AH44" s="111">
        <f ca="1">L44</f>
        <v>3.7832563044065015E-2</v>
      </c>
      <c r="AI44" s="63"/>
      <c r="AJ44" s="63"/>
      <c r="AK44" s="63"/>
      <c r="AL44" s="63"/>
      <c r="AM44" s="63"/>
      <c r="AN44" s="63"/>
      <c r="AO44" s="11"/>
      <c r="AP44" s="11"/>
      <c r="AQ44" s="66"/>
      <c r="AR44" s="97"/>
      <c r="AS44" s="97"/>
      <c r="AT44" s="97"/>
      <c r="AU44" s="70"/>
    </row>
    <row r="45" spans="2:47" x14ac:dyDescent="0.25">
      <c r="B45" s="131"/>
      <c r="C45" s="133"/>
      <c r="D45" s="36">
        <f t="shared" ca="1" si="31"/>
        <v>1.7519538492629216E-2</v>
      </c>
      <c r="E45" s="36">
        <f t="shared" ca="1" si="31"/>
        <v>2.2297405699376327E-3</v>
      </c>
      <c r="F45" s="36">
        <f t="shared" ca="1" si="31"/>
        <v>1.5534925999787896E-2</v>
      </c>
      <c r="G45" s="8">
        <f t="shared" ca="1" si="32"/>
        <v>2.0291843710551483E-3</v>
      </c>
      <c r="H45" s="8">
        <f t="shared" ca="1" si="32"/>
        <v>2.636063833449942E-3</v>
      </c>
      <c r="I45" s="8">
        <f t="shared" ca="1" si="32"/>
        <v>9.3254024885536246E-4</v>
      </c>
      <c r="J45" s="8">
        <f t="shared" ca="1" si="33"/>
        <v>1.3618777736079446E-2</v>
      </c>
      <c r="K45" s="8">
        <f t="shared" ca="1" si="33"/>
        <v>1.3550546130356445E-3</v>
      </c>
      <c r="L45" s="8">
        <f t="shared" ca="1" si="33"/>
        <v>4.5588009156291243E-2</v>
      </c>
      <c r="M45" s="8">
        <f t="shared" ca="1" si="34"/>
        <v>2.0755010325952394E-2</v>
      </c>
      <c r="N45" s="8">
        <f t="shared" ca="1" si="34"/>
        <v>7.4678797820757481E-3</v>
      </c>
      <c r="O45" s="8">
        <f t="shared" ca="1" si="34"/>
        <v>1.4730411142628075E-2</v>
      </c>
      <c r="P45" s="134"/>
      <c r="T45" s="72"/>
      <c r="U45" s="1"/>
      <c r="V45" s="14"/>
      <c r="W45" s="19"/>
      <c r="X45" s="19"/>
      <c r="Y45" s="19"/>
      <c r="Z45" s="19"/>
      <c r="AA45" s="13"/>
      <c r="AB45" s="1"/>
      <c r="AC45" s="14"/>
      <c r="AD45" s="147"/>
      <c r="AE45" s="70"/>
      <c r="AF45" s="109">
        <f ca="1">M30</f>
        <v>10.455880091562912</v>
      </c>
      <c r="AG45" s="110">
        <f t="shared" si="0"/>
        <v>10</v>
      </c>
      <c r="AH45" s="111">
        <f ca="1">L45</f>
        <v>4.5588009156291243E-2</v>
      </c>
      <c r="AI45" s="63"/>
      <c r="AJ45" s="63"/>
      <c r="AK45" s="63"/>
      <c r="AL45" s="63"/>
      <c r="AM45" s="63"/>
      <c r="AN45" s="63"/>
      <c r="AO45" s="11"/>
      <c r="AP45" s="11"/>
      <c r="AQ45" s="66"/>
      <c r="AR45" s="97"/>
      <c r="AS45" s="97"/>
      <c r="AT45" s="97"/>
      <c r="AU45" s="70"/>
    </row>
    <row r="46" spans="2:47" x14ac:dyDescent="0.25">
      <c r="B46" s="132"/>
      <c r="C46" s="133"/>
      <c r="D46" s="36">
        <f t="shared" ca="1" si="31"/>
        <v>2.9842016423390572E-2</v>
      </c>
      <c r="E46" s="36">
        <f t="shared" ca="1" si="31"/>
        <v>2.5287359138889576E-2</v>
      </c>
      <c r="F46" s="36">
        <f t="shared" ca="1" si="31"/>
        <v>2.8117800203509402E-2</v>
      </c>
      <c r="G46" s="8">
        <f t="shared" ca="1" si="32"/>
        <v>1.682080717618839E-2</v>
      </c>
      <c r="H46" s="8">
        <f t="shared" ca="1" si="32"/>
        <v>1.8474232259484413E-3</v>
      </c>
      <c r="I46" s="8">
        <f t="shared" ca="1" si="32"/>
        <v>2.3112863159399977E-2</v>
      </c>
      <c r="J46" s="8">
        <f t="shared" ca="1" si="33"/>
        <v>6.5743525092280652E-2</v>
      </c>
      <c r="K46" s="8">
        <f t="shared" ca="1" si="33"/>
        <v>5.2672580177222761E-2</v>
      </c>
      <c r="L46" s="8">
        <f t="shared" ca="1" si="33"/>
        <v>1.2591776084282191E-2</v>
      </c>
      <c r="M46" s="8">
        <f t="shared" ca="1" si="34"/>
        <v>9.8290481485663328E-3</v>
      </c>
      <c r="N46" s="8">
        <f t="shared" ca="1" si="34"/>
        <v>1.6559895249900425E-2</v>
      </c>
      <c r="O46" s="8">
        <f t="shared" ca="1" si="34"/>
        <v>9.5255457113363473E-3</v>
      </c>
      <c r="P46" s="134"/>
      <c r="U46" s="2"/>
      <c r="V46" s="14"/>
      <c r="W46" s="19"/>
      <c r="X46" s="19"/>
      <c r="Y46" s="19"/>
      <c r="Z46" s="19"/>
      <c r="AA46" s="13"/>
      <c r="AB46" s="2"/>
      <c r="AC46" s="14"/>
      <c r="AD46" s="147"/>
      <c r="AE46" s="70"/>
      <c r="AF46" s="109">
        <f ca="1">M31</f>
        <v>10.125917760842823</v>
      </c>
      <c r="AG46" s="110">
        <f t="shared" si="0"/>
        <v>10</v>
      </c>
      <c r="AH46" s="111">
        <f ca="1">L46</f>
        <v>1.2591776084282191E-2</v>
      </c>
      <c r="AI46" s="63"/>
      <c r="AJ46" s="63"/>
      <c r="AK46" s="63"/>
      <c r="AL46" s="63"/>
      <c r="AM46" s="63"/>
      <c r="AN46" s="63"/>
      <c r="AO46" s="11"/>
      <c r="AP46" s="11"/>
      <c r="AQ46" s="66"/>
      <c r="AR46" s="97"/>
      <c r="AS46" s="97"/>
      <c r="AT46" s="97"/>
      <c r="AU46" s="70"/>
    </row>
    <row r="47" spans="2:47" x14ac:dyDescent="0.25"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Y47" s="39"/>
      <c r="AD47" s="147"/>
      <c r="AE47" s="70"/>
      <c r="AF47" s="109">
        <f ca="1">H20</f>
        <v>20.246293442783749</v>
      </c>
      <c r="AG47" s="110">
        <f>R26</f>
        <v>20</v>
      </c>
      <c r="AH47" s="112">
        <f ca="1">G35</f>
        <v>1.2314672139187355E-2</v>
      </c>
      <c r="AI47" s="63"/>
      <c r="AJ47" s="63"/>
      <c r="AK47" s="63"/>
      <c r="AL47" s="63"/>
      <c r="AM47" s="63"/>
      <c r="AN47" s="63"/>
      <c r="AO47" s="66"/>
      <c r="AP47" s="66"/>
      <c r="AQ47" s="66"/>
      <c r="AR47" s="97"/>
      <c r="AS47" s="97"/>
      <c r="AT47" s="97"/>
      <c r="AU47" s="70"/>
    </row>
    <row r="48" spans="2:47" x14ac:dyDescent="0.25">
      <c r="B48" s="135" t="s">
        <v>11</v>
      </c>
      <c r="C48" s="136"/>
      <c r="D48" s="136"/>
      <c r="E48" s="137"/>
      <c r="F48" s="135" t="s">
        <v>12</v>
      </c>
      <c r="G48" s="136"/>
      <c r="H48" s="136"/>
      <c r="I48" s="136"/>
      <c r="J48" s="136"/>
      <c r="K48" s="137"/>
      <c r="L48" s="155" t="s">
        <v>42</v>
      </c>
      <c r="M48" s="156"/>
      <c r="O48" s="42" t="s">
        <v>25</v>
      </c>
      <c r="AD48" s="147"/>
      <c r="AE48" s="70"/>
      <c r="AF48" s="109">
        <f ca="1">H21</f>
        <v>20.568329734715483</v>
      </c>
      <c r="AG48" s="110">
        <f>AG47</f>
        <v>20</v>
      </c>
      <c r="AH48" s="112">
        <f ca="1">G36</f>
        <v>2.8416486735774127E-2</v>
      </c>
      <c r="AI48" s="63"/>
      <c r="AJ48" s="63"/>
      <c r="AK48" s="63"/>
      <c r="AL48" s="63"/>
      <c r="AM48" s="63"/>
      <c r="AN48" s="63"/>
      <c r="AO48" s="11"/>
      <c r="AP48" s="11"/>
      <c r="AQ48" s="66"/>
      <c r="AR48" s="97"/>
      <c r="AS48" s="97"/>
      <c r="AT48" s="97"/>
      <c r="AU48" s="70"/>
    </row>
    <row r="49" spans="2:47" x14ac:dyDescent="0.25">
      <c r="B49" s="42" t="s">
        <v>13</v>
      </c>
      <c r="C49" s="42" t="s">
        <v>14</v>
      </c>
      <c r="D49" s="42" t="s">
        <v>41</v>
      </c>
      <c r="E49" s="42" t="s">
        <v>15</v>
      </c>
      <c r="F49" s="42" t="s">
        <v>16</v>
      </c>
      <c r="G49" s="42" t="s">
        <v>17</v>
      </c>
      <c r="H49" s="42" t="s">
        <v>18</v>
      </c>
      <c r="I49" s="42" t="s">
        <v>19</v>
      </c>
      <c r="J49" s="42" t="s">
        <v>20</v>
      </c>
      <c r="K49" s="43" t="s">
        <v>91</v>
      </c>
      <c r="L49" s="43" t="s">
        <v>28</v>
      </c>
      <c r="M49" s="42" t="s">
        <v>29</v>
      </c>
      <c r="O49" s="44">
        <f ca="1">F51/F50</f>
        <v>0.38918049036541696</v>
      </c>
      <c r="P49" s="39"/>
      <c r="AD49" s="147"/>
      <c r="AE49" s="70"/>
      <c r="AF49" s="109">
        <f ca="1">H22</f>
        <v>20.033850554469129</v>
      </c>
      <c r="AG49" s="110">
        <f t="shared" ref="AG49:AG82" si="36">AG48</f>
        <v>20</v>
      </c>
      <c r="AH49" s="112">
        <f ca="1">G37</f>
        <v>1.6925277234565161E-3</v>
      </c>
      <c r="AI49" s="65">
        <f ca="1">AVERAGE(AH47:AH82)</f>
        <v>2.0709038772926489E-2</v>
      </c>
      <c r="AJ49" s="65">
        <f ca="1">VAR(AH47:AH81)</f>
        <v>1.842934434481007E-4</v>
      </c>
      <c r="AK49" s="65">
        <f ca="1">AI49-TINV(0.01,G$50)*SQRT(AJ49)</f>
        <v>-1.4731726482514921E-2</v>
      </c>
      <c r="AL49" s="65">
        <f ca="1">AI49+TINV(0.01,G$50)*SQRT(AJ49)</f>
        <v>5.6149804028367903E-2</v>
      </c>
      <c r="AM49" s="65">
        <f>-P$55</f>
        <v>-0.11</v>
      </c>
      <c r="AN49" s="65">
        <f>P$55</f>
        <v>0.11</v>
      </c>
      <c r="AO49" s="11"/>
      <c r="AP49" s="11"/>
      <c r="AQ49" s="66"/>
      <c r="AR49" s="97"/>
      <c r="AS49" s="97"/>
      <c r="AT49" s="97"/>
      <c r="AU49" s="70"/>
    </row>
    <row r="50" spans="2:47" x14ac:dyDescent="0.25">
      <c r="B50" s="45" t="s">
        <v>21</v>
      </c>
      <c r="C50" s="42">
        <f ca="1">COUNT(D35:O46)</f>
        <v>144</v>
      </c>
      <c r="D50" s="10">
        <f ca="1">SUM(D35:O46)^2</f>
        <v>11.842374971141162</v>
      </c>
      <c r="E50" s="10">
        <f ca="1">D50/C50</f>
        <v>8.2238715077369184E-2</v>
      </c>
      <c r="F50" s="10">
        <f ca="1">DEVSQ(D35:O46)</f>
        <v>6.8814725969887594E-2</v>
      </c>
      <c r="G50" s="42">
        <f ca="1">C50-1</f>
        <v>143</v>
      </c>
      <c r="H50" s="10">
        <f t="shared" ref="H50:H57" ca="1" si="37">F50/G50</f>
        <v>4.8122185992928386E-4</v>
      </c>
      <c r="I50" s="42" t="s">
        <v>22</v>
      </c>
      <c r="J50" s="42" t="s">
        <v>22</v>
      </c>
      <c r="K50" s="44">
        <f ca="1">SUM(K52:K57)</f>
        <v>1</v>
      </c>
      <c r="L50" s="42" t="s">
        <v>22</v>
      </c>
      <c r="M50" s="42" t="s">
        <v>22</v>
      </c>
      <c r="O50" s="39"/>
      <c r="AD50" s="147"/>
      <c r="AE50" s="70"/>
      <c r="AF50" s="109">
        <f ca="1">J20</f>
        <v>20.52916189057094</v>
      </c>
      <c r="AG50" s="110">
        <f t="shared" si="36"/>
        <v>20</v>
      </c>
      <c r="AH50" s="112">
        <f ca="1">J38</f>
        <v>4.6638033239963184E-2</v>
      </c>
      <c r="AI50" s="63"/>
      <c r="AJ50" s="63"/>
      <c r="AK50" s="63"/>
      <c r="AL50" s="63"/>
      <c r="AM50" s="63"/>
      <c r="AN50" s="63"/>
      <c r="AO50" s="11"/>
      <c r="AP50" s="11"/>
      <c r="AQ50" s="66"/>
      <c r="AR50" s="97"/>
      <c r="AS50" s="97"/>
      <c r="AT50" s="97"/>
      <c r="AU50" s="70"/>
    </row>
    <row r="51" spans="2:47" x14ac:dyDescent="0.25">
      <c r="B51" s="42" t="s">
        <v>23</v>
      </c>
      <c r="C51" s="42" t="s">
        <v>22</v>
      </c>
      <c r="D51" s="10" t="s">
        <v>22</v>
      </c>
      <c r="E51" s="10" t="s">
        <v>22</v>
      </c>
      <c r="F51" s="10">
        <f ca="1">SUM(F53:F57)</f>
        <v>2.6781348797322649E-2</v>
      </c>
      <c r="G51" s="46">
        <f>SUM(G53:G57)</f>
        <v>14</v>
      </c>
      <c r="H51" s="10">
        <f t="shared" ca="1" si="37"/>
        <v>1.9129534855230463E-3</v>
      </c>
      <c r="I51" s="47">
        <f ca="1">H51/H52</f>
        <v>5.870834470886618</v>
      </c>
      <c r="J51" s="47">
        <f ca="1">FINV(0.05,G51,G52)</f>
        <v>1.7691612678436985</v>
      </c>
      <c r="K51" s="44">
        <f ca="1">F51/F50</f>
        <v>0.38918049036541696</v>
      </c>
      <c r="L51" s="44" t="s">
        <v>22</v>
      </c>
      <c r="M51" s="44" t="s">
        <v>22</v>
      </c>
      <c r="O51" s="42" t="s">
        <v>36</v>
      </c>
      <c r="AD51" s="147"/>
      <c r="AE51" s="70"/>
      <c r="AF51" s="109">
        <f ca="1">J21</f>
        <v>20.530919422067932</v>
      </c>
      <c r="AG51" s="110">
        <f t="shared" si="36"/>
        <v>20</v>
      </c>
      <c r="AH51" s="112">
        <f ca="1">J39</f>
        <v>1.1299111499776249E-2</v>
      </c>
      <c r="AI51" s="63"/>
      <c r="AJ51" s="63"/>
      <c r="AK51" s="63"/>
      <c r="AL51" s="63"/>
      <c r="AM51" s="63"/>
      <c r="AN51" s="63"/>
      <c r="AO51" s="11"/>
      <c r="AP51" s="11"/>
      <c r="AQ51" s="66"/>
      <c r="AR51" s="97"/>
      <c r="AS51" s="97"/>
      <c r="AT51" s="97"/>
      <c r="AU51" s="70"/>
    </row>
    <row r="52" spans="2:47" x14ac:dyDescent="0.25">
      <c r="B52" s="45" t="s">
        <v>24</v>
      </c>
      <c r="C52" s="42" t="s">
        <v>22</v>
      </c>
      <c r="D52" s="10" t="s">
        <v>22</v>
      </c>
      <c r="E52" s="10" t="s">
        <v>22</v>
      </c>
      <c r="F52" s="10">
        <f ca="1">F50-F51</f>
        <v>4.2033377172564945E-2</v>
      </c>
      <c r="G52" s="46">
        <f ca="1">G50-G51</f>
        <v>129</v>
      </c>
      <c r="H52" s="10">
        <f t="shared" ca="1" si="37"/>
        <v>3.2584013312065847E-4</v>
      </c>
      <c r="I52" s="47" t="s">
        <v>22</v>
      </c>
      <c r="J52" s="42" t="s">
        <v>22</v>
      </c>
      <c r="K52" s="44">
        <f ca="1">F52/F50</f>
        <v>0.61081950963458298</v>
      </c>
      <c r="L52" s="42" t="s">
        <v>22</v>
      </c>
      <c r="M52" s="42" t="s">
        <v>22</v>
      </c>
      <c r="O52" s="44">
        <f ca="1">(H50-H52)/H50</f>
        <v>0.32289000094771031</v>
      </c>
      <c r="AD52" s="147"/>
      <c r="AE52" s="70"/>
      <c r="AF52" s="109">
        <f ca="1">J22</f>
        <v>20.514906242139524</v>
      </c>
      <c r="AG52" s="110">
        <f t="shared" si="36"/>
        <v>20</v>
      </c>
      <c r="AH52" s="112">
        <f ca="1">J40</f>
        <v>2.5362458470152172E-2</v>
      </c>
      <c r="AI52" s="63"/>
      <c r="AJ52" s="63"/>
      <c r="AK52" s="63"/>
      <c r="AL52" s="63"/>
      <c r="AM52" s="63"/>
      <c r="AN52" s="63"/>
      <c r="AO52" s="11"/>
      <c r="AP52" s="11"/>
      <c r="AQ52" s="66"/>
      <c r="AR52" s="97"/>
      <c r="AS52" s="97"/>
      <c r="AT52" s="97"/>
      <c r="AU52" s="70"/>
    </row>
    <row r="53" spans="2:47" x14ac:dyDescent="0.25">
      <c r="B53" s="45" t="s">
        <v>26</v>
      </c>
      <c r="C53" s="42">
        <v>4</v>
      </c>
      <c r="D53" s="10">
        <f ca="1">SUM(D35:F46)^2+SUM(G35:I46)^2+SUM(J35:L46)^2+SUM(M35:O46)^2</f>
        <v>2.9740472704973113</v>
      </c>
      <c r="E53" s="10">
        <f ca="1">D53*C53/$C$50</f>
        <v>8.261242418048087E-2</v>
      </c>
      <c r="F53" s="10">
        <f ca="1">E53-$E$50</f>
        <v>3.737091031116857E-4</v>
      </c>
      <c r="G53" s="42">
        <f>(C53-1)</f>
        <v>3</v>
      </c>
      <c r="H53" s="10">
        <f t="shared" ca="1" si="37"/>
        <v>1.2456970103722856E-4</v>
      </c>
      <c r="I53" s="47">
        <f ca="1">H53/H52</f>
        <v>0.38230312467709571</v>
      </c>
      <c r="J53" s="47">
        <f ca="1">FINV(0.05,G53,G52)</f>
        <v>2.6748320976237934</v>
      </c>
      <c r="K53" s="48">
        <f ca="1">F53/$F$50</f>
        <v>5.4306559801635453E-3</v>
      </c>
      <c r="L53" s="44">
        <f ca="1">1-FDIST(J53/I53,G53,G$52)</f>
        <v>0.99978675744679235</v>
      </c>
      <c r="M53" s="44">
        <f ca="1">1-L53</f>
        <v>2.1324255320764873E-4</v>
      </c>
      <c r="O53" s="39"/>
      <c r="AD53" s="147"/>
      <c r="AE53" s="70"/>
      <c r="AF53" s="109">
        <f ca="1">I20</f>
        <v>20.695025047438101</v>
      </c>
      <c r="AG53" s="110">
        <f t="shared" si="36"/>
        <v>20</v>
      </c>
      <c r="AH53" s="112">
        <f ca="1">M41</f>
        <v>2.9435581975142844E-2</v>
      </c>
      <c r="AI53" s="63"/>
      <c r="AJ53" s="63"/>
      <c r="AK53" s="63"/>
      <c r="AL53" s="63"/>
      <c r="AM53" s="63"/>
      <c r="AN53" s="63"/>
      <c r="AO53" s="11"/>
      <c r="AP53" s="11"/>
      <c r="AQ53" s="66"/>
      <c r="AR53" s="97"/>
      <c r="AS53" s="97"/>
      <c r="AT53" s="97"/>
      <c r="AU53" s="70"/>
    </row>
    <row r="54" spans="2:47" x14ac:dyDescent="0.25">
      <c r="B54" s="45" t="s">
        <v>27</v>
      </c>
      <c r="C54" s="42">
        <v>4</v>
      </c>
      <c r="D54" s="10">
        <f ca="1">SUMSQ(P35:P46)</f>
        <v>2.9657998898121307</v>
      </c>
      <c r="E54" s="10">
        <f ca="1">D54*C54/$C$50</f>
        <v>8.2383330272559188E-2</v>
      </c>
      <c r="F54" s="10">
        <f t="shared" ref="F54:F57" ca="1" si="38">E54-$E$50</f>
        <v>1.4461519519000376E-4</v>
      </c>
      <c r="G54" s="42">
        <f>G53</f>
        <v>3</v>
      </c>
      <c r="H54" s="10">
        <f t="shared" ca="1" si="37"/>
        <v>4.8205065063334586E-5</v>
      </c>
      <c r="I54" s="47">
        <f ca="1">H54/H52</f>
        <v>0.14794084633363525</v>
      </c>
      <c r="J54" s="47">
        <f ca="1">FINV(0.05,G54,G52)</f>
        <v>2.6748320976237934</v>
      </c>
      <c r="K54" s="48">
        <f ca="1">F54/$F$50</f>
        <v>2.1015152374985182E-3</v>
      </c>
      <c r="L54" s="44">
        <f ca="1">1-FDIST(J54/I54,G54,G$52)</f>
        <v>0.99999999925677685</v>
      </c>
      <c r="M54" s="44">
        <f t="shared" ref="M54" ca="1" si="39">1-L54</f>
        <v>7.4322314969066383E-10</v>
      </c>
      <c r="O54" s="88" t="s">
        <v>32</v>
      </c>
      <c r="P54" s="38">
        <v>0.22</v>
      </c>
      <c r="AD54" s="147"/>
      <c r="AE54" s="70"/>
      <c r="AF54" s="109">
        <f ca="1">I21</f>
        <v>20.003023854460952</v>
      </c>
      <c r="AG54" s="110">
        <f t="shared" si="36"/>
        <v>20</v>
      </c>
      <c r="AH54" s="112">
        <f ca="1">M42</f>
        <v>2.9211863335643073E-2</v>
      </c>
      <c r="AI54" s="63"/>
      <c r="AJ54" s="63"/>
      <c r="AK54" s="63"/>
      <c r="AL54" s="63"/>
      <c r="AM54" s="63"/>
      <c r="AN54" s="63"/>
      <c r="AO54" s="11"/>
      <c r="AP54" s="11"/>
      <c r="AQ54" s="66"/>
      <c r="AR54" s="97"/>
      <c r="AS54" s="97"/>
      <c r="AT54" s="97"/>
      <c r="AU54" s="70"/>
    </row>
    <row r="55" spans="2:47" x14ac:dyDescent="0.25">
      <c r="B55" s="42" t="s">
        <v>0</v>
      </c>
      <c r="C55" s="42">
        <v>4</v>
      </c>
      <c r="D55" s="10">
        <f ca="1">SUM(D35:F37,M44:O46,G41:I43,J38:L40)^2+SUM(G35:I37,M38:O40,J44:L46,D41:F43)^2+SUM(J35:L37,M41:O43,D38:F40,G44:I46)^2+SUM(M35:O37,G38:I40,J41:L43,D44:F46)^2</f>
        <v>2.9692504061144867</v>
      </c>
      <c r="E55" s="10">
        <f ca="1">D55*C55/$C$50</f>
        <v>8.2479177947624632E-2</v>
      </c>
      <c r="F55" s="10">
        <f t="shared" ca="1" si="38"/>
        <v>2.4046287025544788E-4</v>
      </c>
      <c r="G55" s="42">
        <f>G54</f>
        <v>3</v>
      </c>
      <c r="H55" s="10">
        <f t="shared" ca="1" si="37"/>
        <v>8.0154290085149293E-5</v>
      </c>
      <c r="I55" s="47">
        <f ca="1">H55/H52</f>
        <v>0.24599268763331922</v>
      </c>
      <c r="J55" s="47">
        <f ca="1">FINV(0.05,G55,G52)</f>
        <v>2.6748320976237934</v>
      </c>
      <c r="K55" s="48">
        <f ca="1">F55/$F$50</f>
        <v>3.4943519263692371E-3</v>
      </c>
      <c r="L55" s="44">
        <f ca="1">1-FDIST(J55/I55,G55,G$52)</f>
        <v>0.99999795937278546</v>
      </c>
      <c r="M55" s="44">
        <f ca="1">1-L55</f>
        <v>2.0406272145390147E-6</v>
      </c>
      <c r="O55" s="88" t="s">
        <v>33</v>
      </c>
      <c r="P55" s="41">
        <f>P54/2</f>
        <v>0.11</v>
      </c>
      <c r="AD55" s="147"/>
      <c r="AE55" s="70"/>
      <c r="AF55" s="109">
        <f ca="1">I22</f>
        <v>20.674656784080931</v>
      </c>
      <c r="AG55" s="110">
        <f t="shared" si="36"/>
        <v>20</v>
      </c>
      <c r="AH55" s="112">
        <f ca="1">M43</f>
        <v>7.5849039530817564E-4</v>
      </c>
      <c r="AI55" s="63"/>
      <c r="AJ55" s="63"/>
      <c r="AK55" s="63"/>
      <c r="AL55" s="63"/>
      <c r="AM55" s="63"/>
      <c r="AN55" s="63"/>
      <c r="AO55" s="66"/>
      <c r="AP55" s="66"/>
      <c r="AQ55" s="66"/>
      <c r="AR55" s="97"/>
      <c r="AS55" s="97"/>
      <c r="AT55" s="97"/>
      <c r="AU55" s="70"/>
    </row>
    <row r="56" spans="2:47" x14ac:dyDescent="0.25">
      <c r="B56" s="42" t="s">
        <v>84</v>
      </c>
      <c r="C56" s="42">
        <v>4</v>
      </c>
      <c r="D56" s="10">
        <f ca="1">SUM(D35:F37,G44:I46,M38:O40,J41:L43)^2+SUM(G35:I37,J38:L40,M41:O43,D44:F46)^2+SUM(J35:L37,G38:I40,D41:F43,M44:O46)^2+SUM(M35:O37,D38:F40,G41:I43,J44:L46)^2</f>
        <v>3.8344702751746431</v>
      </c>
      <c r="E56" s="10">
        <f ca="1">D56*C56/$C$50</f>
        <v>0.10651306319929564</v>
      </c>
      <c r="F56" s="10">
        <f t="shared" ca="1" si="38"/>
        <v>2.4274348121926456E-2</v>
      </c>
      <c r="G56" s="42">
        <f>C56-1</f>
        <v>3</v>
      </c>
      <c r="H56" s="10">
        <f t="shared" ca="1" si="37"/>
        <v>8.0914493739754848E-3</v>
      </c>
      <c r="I56" s="47">
        <f ca="1">H56/H52</f>
        <v>24.832574479029027</v>
      </c>
      <c r="J56" s="47">
        <f ca="1">FINV(0.05,G56,G52)</f>
        <v>2.6748320976237934</v>
      </c>
      <c r="K56" s="48">
        <f ca="1">F56/$F$50</f>
        <v>0.35274932479639004</v>
      </c>
      <c r="L56" s="44">
        <f ca="1">1-FDIST(J56/I56,G56,G$52)</f>
        <v>4.4544095322734401E-2</v>
      </c>
      <c r="M56" s="44">
        <f ca="1">1-L56</f>
        <v>0.9554559046772656</v>
      </c>
      <c r="AD56" s="147"/>
      <c r="AE56" s="70"/>
      <c r="AF56" s="109">
        <f ca="1">K23</f>
        <v>20.932760664799265</v>
      </c>
      <c r="AG56" s="110">
        <f t="shared" si="36"/>
        <v>20</v>
      </c>
      <c r="AH56" s="112">
        <f ca="1">D44</f>
        <v>4.598759045175127E-2</v>
      </c>
      <c r="AI56" s="63"/>
      <c r="AJ56" s="63"/>
      <c r="AK56" s="66"/>
      <c r="AL56" s="66"/>
      <c r="AM56" s="66"/>
      <c r="AN56" s="63"/>
      <c r="AO56" s="63"/>
      <c r="AP56" s="63"/>
      <c r="AQ56" s="63"/>
    </row>
    <row r="57" spans="2:47" ht="13.5" thickBot="1" x14ac:dyDescent="0.3">
      <c r="B57" s="98" t="s">
        <v>77</v>
      </c>
      <c r="C57" s="98">
        <v>3</v>
      </c>
      <c r="D57" s="99">
        <f ca="1">SUM(D35:D46,G35:G46,J35:J46,M35:M46)^2+SUM(E35:E46,H35:H46,K35:K46,N35:N46)^2+SUM(I35:I46,F35:F46,L35:L46,O35:O46)^2</f>
        <v>4.0313725720419953</v>
      </c>
      <c r="E57" s="99">
        <f ca="1">D57*C57/C50</f>
        <v>8.398692858420824E-2</v>
      </c>
      <c r="F57" s="100">
        <f t="shared" ca="1" si="38"/>
        <v>1.7482135068390553E-3</v>
      </c>
      <c r="G57" s="98">
        <v>2</v>
      </c>
      <c r="H57" s="100">
        <f t="shared" ca="1" si="37"/>
        <v>8.7410675341952765E-4</v>
      </c>
      <c r="I57" s="101">
        <f ca="1">H57/H53</f>
        <v>7.0170093220204048</v>
      </c>
      <c r="J57" s="101">
        <f>FINV(0.05,G57,G53)</f>
        <v>9.5520944959211587</v>
      </c>
      <c r="K57" s="102">
        <f ca="1">F57/$F$50</f>
        <v>2.5404642424995634E-2</v>
      </c>
      <c r="L57" s="103">
        <f ca="1">1-FDIST(J57/I57,G57,G$52)</f>
        <v>0.74000976310137667</v>
      </c>
      <c r="M57" s="103">
        <f ca="1">1-L57</f>
        <v>0.25999023689862333</v>
      </c>
      <c r="AD57" s="148"/>
      <c r="AE57" s="70"/>
      <c r="AF57" s="109">
        <f ca="1">K24</f>
        <v>20.225982229995527</v>
      </c>
      <c r="AG57" s="110">
        <f t="shared" si="36"/>
        <v>20</v>
      </c>
      <c r="AH57" s="112">
        <f ca="1">D45</f>
        <v>1.7519538492629216E-2</v>
      </c>
      <c r="AI57" s="63"/>
      <c r="AJ57" s="63"/>
      <c r="AK57" s="66"/>
      <c r="AL57" s="66"/>
      <c r="AM57" s="66"/>
      <c r="AN57" s="63"/>
      <c r="AO57" s="63"/>
      <c r="AP57" s="63"/>
      <c r="AQ57" s="63"/>
    </row>
    <row r="58" spans="2:47" ht="13.5" thickBot="1" x14ac:dyDescent="0.3">
      <c r="B58" s="9"/>
      <c r="C58" s="9"/>
      <c r="D58" s="9"/>
      <c r="E58" s="49"/>
      <c r="F58" s="49"/>
      <c r="G58" s="49"/>
      <c r="H58" s="49"/>
      <c r="I58" s="49"/>
      <c r="J58" s="49"/>
      <c r="K58" s="49"/>
      <c r="L58" s="49"/>
      <c r="M58" s="49"/>
      <c r="N58" s="9"/>
      <c r="Q58" s="50"/>
      <c r="R58" s="51"/>
      <c r="T58" s="52"/>
      <c r="U58" s="53"/>
      <c r="V58" s="53"/>
      <c r="X58" s="95"/>
      <c r="Y58" s="96"/>
      <c r="AE58" s="70"/>
      <c r="AF58" s="109">
        <f ca="1">K25</f>
        <v>20.507249169403043</v>
      </c>
      <c r="AG58" s="110">
        <f t="shared" si="36"/>
        <v>20</v>
      </c>
      <c r="AH58" s="112">
        <f ca="1">D46</f>
        <v>2.9842016423390572E-2</v>
      </c>
      <c r="AI58" s="63"/>
      <c r="AJ58" s="63"/>
      <c r="AK58" s="66"/>
      <c r="AL58" s="66"/>
      <c r="AM58" s="66"/>
      <c r="AN58" s="63"/>
      <c r="AO58" s="63"/>
      <c r="AP58" s="63"/>
      <c r="AQ58" s="63"/>
    </row>
    <row r="59" spans="2:47" ht="13.5" thickBot="1" x14ac:dyDescent="0.3">
      <c r="B59" s="58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60"/>
      <c r="AE59" s="70"/>
      <c r="AF59" s="109">
        <f ca="1">N26</f>
        <v>20.588711639502858</v>
      </c>
      <c r="AG59" s="110">
        <f t="shared" si="36"/>
        <v>20</v>
      </c>
      <c r="AH59" s="112">
        <f ca="1">H35</f>
        <v>3.4751252371905128E-2</v>
      </c>
      <c r="AI59" s="11"/>
      <c r="AJ59" s="66"/>
      <c r="AK59" s="66"/>
      <c r="AL59" s="66"/>
      <c r="AM59" s="66"/>
      <c r="AN59" s="63"/>
      <c r="AO59" s="63"/>
      <c r="AP59" s="63"/>
      <c r="AQ59" s="63"/>
    </row>
    <row r="60" spans="2:47" ht="13.5" thickBot="1" x14ac:dyDescent="0.3">
      <c r="Y60" s="39"/>
      <c r="Z60" s="39"/>
      <c r="AE60" s="70"/>
      <c r="AF60" s="109">
        <f ca="1">N27</f>
        <v>20.584237266712861</v>
      </c>
      <c r="AG60" s="110">
        <f t="shared" si="36"/>
        <v>20</v>
      </c>
      <c r="AH60" s="112">
        <f ca="1">H36</f>
        <v>1.5119272304753295E-4</v>
      </c>
      <c r="AI60" s="11"/>
      <c r="AJ60" s="66"/>
      <c r="AK60" s="66"/>
      <c r="AL60" s="66"/>
      <c r="AM60" s="66"/>
      <c r="AN60" s="63"/>
      <c r="AO60" s="63"/>
      <c r="AP60" s="63"/>
      <c r="AQ60" s="63"/>
    </row>
    <row r="61" spans="2:47" x14ac:dyDescent="0.25">
      <c r="R61" s="82"/>
      <c r="Y61" s="39"/>
      <c r="Z61" s="39"/>
      <c r="AD61" s="146"/>
      <c r="AF61" s="109">
        <f ca="1">N28</f>
        <v>20.015169807906162</v>
      </c>
      <c r="AG61" s="110">
        <f t="shared" si="36"/>
        <v>20</v>
      </c>
      <c r="AH61" s="112">
        <f ca="1">H37</f>
        <v>3.3732839204046572E-2</v>
      </c>
      <c r="AI61" s="11"/>
      <c r="AJ61" s="66"/>
      <c r="AK61" s="66"/>
      <c r="AL61" s="66"/>
      <c r="AM61" s="66"/>
      <c r="AN61" s="63"/>
      <c r="AO61" s="63"/>
      <c r="AP61" s="63"/>
      <c r="AQ61" s="63"/>
    </row>
    <row r="62" spans="2:47" x14ac:dyDescent="0.25">
      <c r="R62" s="82"/>
      <c r="Y62" s="39"/>
      <c r="Z62" s="39"/>
      <c r="AD62" s="147"/>
      <c r="AF62" s="109">
        <f ca="1">E29</f>
        <v>20.919751809035027</v>
      </c>
      <c r="AG62" s="110">
        <f t="shared" si="36"/>
        <v>20</v>
      </c>
      <c r="AH62" s="112">
        <f ca="1">K38</f>
        <v>4.8110855183265411E-3</v>
      </c>
      <c r="AI62" s="11"/>
      <c r="AJ62" s="66"/>
      <c r="AK62" s="66"/>
      <c r="AL62" s="66"/>
      <c r="AM62" s="66"/>
      <c r="AN62" s="63"/>
      <c r="AO62" s="63"/>
      <c r="AP62" s="63"/>
      <c r="AQ62" s="63"/>
    </row>
    <row r="63" spans="2:47" x14ac:dyDescent="0.25">
      <c r="R63" s="105"/>
      <c r="Y63" s="7"/>
      <c r="Z63" s="7"/>
      <c r="AD63" s="147"/>
      <c r="AF63" s="109">
        <f ca="1">E30</f>
        <v>20.350390769852584</v>
      </c>
      <c r="AG63" s="110">
        <f t="shared" si="36"/>
        <v>20</v>
      </c>
      <c r="AH63" s="112">
        <f ca="1">K39</f>
        <v>4.1099131303985015E-2</v>
      </c>
      <c r="AI63" s="11"/>
      <c r="AJ63" s="66"/>
      <c r="AK63" s="66"/>
      <c r="AL63" s="66"/>
      <c r="AM63" s="66"/>
      <c r="AN63" s="63"/>
      <c r="AO63" s="63"/>
      <c r="AP63" s="63"/>
      <c r="AQ63" s="63"/>
    </row>
    <row r="64" spans="2:47" x14ac:dyDescent="0.25">
      <c r="Y64" s="7"/>
      <c r="Z64" s="7"/>
      <c r="AD64" s="147"/>
      <c r="AF64" s="109">
        <f ca="1">E31</f>
        <v>20.59684032846781</v>
      </c>
      <c r="AG64" s="110">
        <f t="shared" si="36"/>
        <v>20</v>
      </c>
      <c r="AH64" s="112">
        <f ca="1">K40</f>
        <v>2.7163235305436739E-2</v>
      </c>
      <c r="AI64" s="63"/>
      <c r="AJ64" s="63"/>
      <c r="AK64" s="63"/>
      <c r="AL64" s="63"/>
      <c r="AM64" s="63"/>
      <c r="AN64" s="63"/>
      <c r="AO64" s="63"/>
      <c r="AP64" s="63"/>
      <c r="AQ64" s="63"/>
    </row>
    <row r="65" spans="2:43" x14ac:dyDescent="0.25">
      <c r="U65" s="33"/>
      <c r="V65" s="33"/>
      <c r="W65" s="61"/>
      <c r="X65" s="61"/>
      <c r="Y65" s="7"/>
      <c r="Z65" s="7"/>
      <c r="AD65" s="147"/>
      <c r="AF65" s="109">
        <f ca="1">L23</f>
        <v>20.096221710366532</v>
      </c>
      <c r="AG65" s="110">
        <f t="shared" si="36"/>
        <v>20</v>
      </c>
      <c r="AH65" s="112">
        <f ca="1">N41</f>
        <v>3.9412327119900947E-3</v>
      </c>
      <c r="AI65" s="63"/>
      <c r="AJ65" s="63"/>
      <c r="AK65" s="63"/>
      <c r="AL65" s="63"/>
      <c r="AM65" s="63"/>
      <c r="AN65" s="63"/>
      <c r="AO65" s="63"/>
      <c r="AP65" s="63"/>
      <c r="AQ65" s="63"/>
    </row>
    <row r="66" spans="2:43" x14ac:dyDescent="0.25">
      <c r="U66" s="33"/>
      <c r="V66" s="33"/>
      <c r="W66" s="61"/>
      <c r="X66" s="61"/>
      <c r="Y66" s="7"/>
      <c r="Z66" s="7"/>
      <c r="AD66" s="147"/>
      <c r="AF66" s="109">
        <f ca="1">L24</f>
        <v>20.821982626079702</v>
      </c>
      <c r="AG66" s="110">
        <f t="shared" si="36"/>
        <v>20</v>
      </c>
      <c r="AH66" s="112">
        <f ca="1">N42</f>
        <v>3.3983456638042586E-2</v>
      </c>
      <c r="AI66" s="63"/>
      <c r="AJ66" s="63"/>
      <c r="AK66" s="63"/>
      <c r="AL66" s="63"/>
      <c r="AM66" s="63"/>
      <c r="AN66" s="63"/>
      <c r="AO66" s="63"/>
      <c r="AP66" s="63"/>
      <c r="AQ66" s="63"/>
    </row>
    <row r="67" spans="2:43" x14ac:dyDescent="0.25">
      <c r="U67" s="33"/>
      <c r="V67" s="33"/>
      <c r="W67" s="61"/>
      <c r="X67" s="61"/>
      <c r="Y67" s="39"/>
      <c r="Z67" s="39"/>
      <c r="AD67" s="147"/>
      <c r="AF67" s="109">
        <f ca="1">L25</f>
        <v>20.543264706108733</v>
      </c>
      <c r="AG67" s="110">
        <f t="shared" si="36"/>
        <v>20</v>
      </c>
      <c r="AH67" s="112">
        <f ca="1">N43</f>
        <v>2.5366750241045288E-2</v>
      </c>
      <c r="AI67" s="63"/>
      <c r="AJ67" s="63"/>
      <c r="AK67" s="63"/>
      <c r="AL67" s="63"/>
      <c r="AM67" s="63"/>
      <c r="AN67" s="63"/>
      <c r="AO67" s="63"/>
      <c r="AP67" s="63"/>
      <c r="AQ67" s="63"/>
    </row>
    <row r="68" spans="2:43" x14ac:dyDescent="0.25">
      <c r="U68" s="33"/>
      <c r="V68" s="33"/>
      <c r="W68" s="61"/>
      <c r="X68" s="61"/>
      <c r="Y68" s="39"/>
      <c r="Z68" s="39"/>
      <c r="AD68" s="147"/>
      <c r="AF68" s="109">
        <f ca="1">O26</f>
        <v>20.078824654239803</v>
      </c>
      <c r="AG68" s="110">
        <f t="shared" si="36"/>
        <v>20</v>
      </c>
      <c r="AH68" s="112">
        <f ca="1">E44</f>
        <v>8.8186372584386774E-3</v>
      </c>
      <c r="AI68" s="63"/>
      <c r="AJ68" s="63"/>
      <c r="AK68" s="63"/>
      <c r="AL68" s="63"/>
      <c r="AM68" s="63"/>
      <c r="AN68" s="63"/>
      <c r="AO68" s="63"/>
      <c r="AP68" s="63"/>
      <c r="AQ68" s="63"/>
    </row>
    <row r="69" spans="2:43" x14ac:dyDescent="0.25">
      <c r="U69" s="33"/>
      <c r="V69" s="33"/>
      <c r="W69" s="61"/>
      <c r="X69" s="61"/>
      <c r="AD69" s="147"/>
      <c r="AF69" s="109">
        <f ca="1">O27</f>
        <v>20.679669132760854</v>
      </c>
      <c r="AG69" s="110">
        <f t="shared" si="36"/>
        <v>20</v>
      </c>
      <c r="AH69" s="112">
        <f ca="1">E45</f>
        <v>2.2297405699376327E-3</v>
      </c>
      <c r="AI69" s="63"/>
      <c r="AJ69" s="63"/>
      <c r="AK69" s="63"/>
      <c r="AL69" s="63"/>
      <c r="AM69" s="63"/>
      <c r="AN69" s="63"/>
      <c r="AO69" s="63"/>
      <c r="AP69" s="63"/>
      <c r="AQ69" s="63"/>
    </row>
    <row r="70" spans="2:43" x14ac:dyDescent="0.25">
      <c r="U70" s="33"/>
      <c r="V70" s="33"/>
      <c r="W70" s="61"/>
      <c r="X70" s="61"/>
      <c r="AD70" s="147"/>
      <c r="AF70" s="109">
        <f ca="1">O28</f>
        <v>20.507335004820906</v>
      </c>
      <c r="AG70" s="110">
        <f t="shared" si="36"/>
        <v>20</v>
      </c>
      <c r="AH70" s="112">
        <f ca="1">E46</f>
        <v>2.5287359138889576E-2</v>
      </c>
      <c r="AI70" s="63"/>
      <c r="AJ70" s="63"/>
      <c r="AK70" s="63"/>
      <c r="AL70" s="63"/>
      <c r="AM70" s="63"/>
      <c r="AN70" s="63"/>
      <c r="AO70" s="63"/>
      <c r="AP70" s="63"/>
      <c r="AQ70" s="63"/>
    </row>
    <row r="71" spans="2:43" x14ac:dyDescent="0.25">
      <c r="U71" s="33"/>
      <c r="V71" s="33"/>
      <c r="W71" s="61"/>
      <c r="X71" s="61"/>
      <c r="AD71" s="147"/>
      <c r="AF71" s="109">
        <f ca="1">F29</f>
        <v>20.176372745168774</v>
      </c>
      <c r="AG71" s="110">
        <f t="shared" si="36"/>
        <v>20</v>
      </c>
      <c r="AH71" s="112">
        <f ca="1">I35</f>
        <v>2.6458094528547083E-2</v>
      </c>
      <c r="AI71" s="63"/>
      <c r="AJ71" s="63"/>
      <c r="AK71" s="63"/>
      <c r="AL71" s="63"/>
      <c r="AM71" s="63"/>
      <c r="AN71" s="63"/>
      <c r="AO71" s="63"/>
      <c r="AP71" s="63"/>
      <c r="AQ71" s="63"/>
    </row>
    <row r="72" spans="2:43" x14ac:dyDescent="0.25">
      <c r="U72" s="33"/>
      <c r="V72" s="33"/>
      <c r="W72" s="61"/>
      <c r="X72" s="61"/>
      <c r="AD72" s="147"/>
      <c r="AF72" s="109">
        <f ca="1">F30</f>
        <v>20.044594811398753</v>
      </c>
      <c r="AG72" s="110">
        <f t="shared" si="36"/>
        <v>20</v>
      </c>
      <c r="AH72" s="112">
        <f ca="1">I36</f>
        <v>2.6545971103396626E-2</v>
      </c>
      <c r="AI72" s="63"/>
      <c r="AJ72" s="63"/>
      <c r="AK72" s="63"/>
      <c r="AL72" s="63"/>
      <c r="AM72" s="63"/>
      <c r="AN72" s="63"/>
      <c r="AO72" s="63"/>
      <c r="AP72" s="63"/>
      <c r="AQ72" s="63"/>
    </row>
    <row r="73" spans="2:43" x14ac:dyDescent="0.25">
      <c r="U73" s="33"/>
      <c r="V73" s="33"/>
      <c r="W73" s="61"/>
      <c r="X73" s="61"/>
      <c r="AD73" s="147"/>
      <c r="AF73" s="109">
        <f ca="1">F31</f>
        <v>20.505747182777792</v>
      </c>
      <c r="AG73" s="110">
        <f t="shared" si="36"/>
        <v>20</v>
      </c>
      <c r="AH73" s="112">
        <f ca="1">I37</f>
        <v>2.574531210697617E-2</v>
      </c>
      <c r="AI73" s="63"/>
      <c r="AJ73" s="63"/>
      <c r="AK73" s="63"/>
      <c r="AL73" s="63"/>
      <c r="AM73" s="63"/>
      <c r="AN73" s="63"/>
      <c r="AO73" s="63"/>
      <c r="AP73" s="63"/>
      <c r="AQ73" s="63"/>
    </row>
    <row r="74" spans="2:43" x14ac:dyDescent="0.25">
      <c r="AD74" s="147"/>
      <c r="AF74" s="109">
        <f ca="1">M23</f>
        <v>20.252550862937799</v>
      </c>
      <c r="AG74" s="110">
        <f t="shared" si="36"/>
        <v>20</v>
      </c>
      <c r="AH74" s="112">
        <f ca="1">L38</f>
        <v>1.2627543146889852E-2</v>
      </c>
      <c r="AI74" s="63"/>
      <c r="AJ74" s="63"/>
      <c r="AK74" s="63"/>
      <c r="AL74" s="63"/>
      <c r="AM74" s="63"/>
      <c r="AN74" s="63"/>
      <c r="AO74" s="63"/>
      <c r="AP74" s="63"/>
      <c r="AQ74" s="63"/>
    </row>
    <row r="75" spans="2:43" x14ac:dyDescent="0.25">
      <c r="AD75" s="147"/>
      <c r="AF75" s="109">
        <f ca="1">M24</f>
        <v>20.048159834566562</v>
      </c>
      <c r="AG75" s="110">
        <f t="shared" si="36"/>
        <v>20</v>
      </c>
      <c r="AH75" s="112">
        <f ca="1">L39</f>
        <v>2.4079917283281738E-3</v>
      </c>
      <c r="AI75" s="63"/>
      <c r="AJ75" s="63"/>
      <c r="AK75" s="63"/>
      <c r="AL75" s="63"/>
      <c r="AM75" s="63"/>
      <c r="AN75" s="63"/>
      <c r="AO75" s="63"/>
      <c r="AP75" s="63"/>
      <c r="AQ75" s="63"/>
    </row>
    <row r="76" spans="2:43" x14ac:dyDescent="0.25">
      <c r="AD76" s="147"/>
      <c r="AF76" s="109">
        <f ca="1">M25</f>
        <v>20.321653965202184</v>
      </c>
      <c r="AG76" s="110">
        <f t="shared" si="36"/>
        <v>20</v>
      </c>
      <c r="AH76" s="112">
        <f ca="1">L40</f>
        <v>1.6082698260109218E-2</v>
      </c>
      <c r="AI76" s="63"/>
      <c r="AJ76" s="63"/>
      <c r="AK76" s="63"/>
      <c r="AL76" s="63"/>
      <c r="AM76" s="63"/>
      <c r="AN76" s="63"/>
      <c r="AO76" s="63"/>
      <c r="AP76" s="63"/>
      <c r="AQ76" s="63"/>
    </row>
    <row r="77" spans="2:43" x14ac:dyDescent="0.25">
      <c r="AD77" s="147"/>
      <c r="AF77" s="109">
        <f ca="1">P26</f>
        <v>20.062918630027884</v>
      </c>
      <c r="AG77" s="110">
        <f t="shared" si="36"/>
        <v>20</v>
      </c>
      <c r="AH77" s="112">
        <f ca="1">O41</f>
        <v>3.1459315013941946E-3</v>
      </c>
      <c r="AI77" s="63"/>
      <c r="AJ77" s="63"/>
      <c r="AK77" s="63"/>
      <c r="AL77" s="63"/>
      <c r="AM77" s="63"/>
      <c r="AN77" s="63"/>
      <c r="AO77" s="63"/>
      <c r="AP77" s="63"/>
      <c r="AQ77" s="63"/>
    </row>
    <row r="78" spans="2:43" x14ac:dyDescent="0.25">
      <c r="L78" s="73"/>
      <c r="U78" s="83"/>
      <c r="AD78" s="147"/>
      <c r="AF78" s="109">
        <f ca="1">P27</f>
        <v>20.160562517756379</v>
      </c>
      <c r="AG78" s="110">
        <f t="shared" si="36"/>
        <v>20</v>
      </c>
      <c r="AH78" s="112">
        <f ca="1">O42</f>
        <v>8.0281258878189821E-3</v>
      </c>
      <c r="AI78" s="63"/>
      <c r="AJ78" s="63"/>
      <c r="AK78" s="63"/>
      <c r="AL78" s="63"/>
      <c r="AM78" s="63"/>
      <c r="AN78" s="63"/>
      <c r="AO78" s="63"/>
      <c r="AP78" s="63"/>
      <c r="AQ78" s="63"/>
    </row>
    <row r="79" spans="2:43" x14ac:dyDescent="0.2">
      <c r="I79" s="67"/>
      <c r="J79" s="79"/>
      <c r="K79" s="79"/>
      <c r="L79" s="84"/>
      <c r="U79" s="83"/>
      <c r="AD79" s="147"/>
      <c r="AF79" s="109">
        <f ca="1">P28</f>
        <v>20.533001886487121</v>
      </c>
      <c r="AG79" s="110">
        <f t="shared" si="36"/>
        <v>20</v>
      </c>
      <c r="AH79" s="112">
        <f ca="1">O43</f>
        <v>2.6650094324355944E-2</v>
      </c>
      <c r="AI79" s="63"/>
      <c r="AJ79" s="63"/>
      <c r="AK79" s="63"/>
      <c r="AL79" s="63"/>
      <c r="AM79" s="63"/>
      <c r="AN79" s="63"/>
      <c r="AO79" s="63"/>
      <c r="AP79" s="63"/>
      <c r="AQ79" s="63"/>
    </row>
    <row r="80" spans="2:43" x14ac:dyDescent="0.2">
      <c r="B80" s="78"/>
      <c r="Q80" s="67"/>
      <c r="R80" s="68"/>
      <c r="T80" s="67"/>
      <c r="U80" s="85"/>
      <c r="AD80" s="147"/>
      <c r="AF80" s="109">
        <f ca="1">G29</f>
        <v>20.68733246333948</v>
      </c>
      <c r="AG80" s="110">
        <f t="shared" si="36"/>
        <v>20</v>
      </c>
      <c r="AH80" s="112">
        <f ca="1">F44</f>
        <v>3.436662316697392E-2</v>
      </c>
      <c r="AI80" s="63"/>
      <c r="AJ80" s="63"/>
      <c r="AK80" s="63"/>
      <c r="AL80" s="63"/>
      <c r="AM80" s="63"/>
      <c r="AN80" s="63"/>
      <c r="AO80" s="63"/>
      <c r="AP80" s="63"/>
      <c r="AQ80" s="63"/>
    </row>
    <row r="81" spans="2:43" x14ac:dyDescent="0.2">
      <c r="Q81" s="67"/>
      <c r="R81" s="68"/>
      <c r="T81" s="67"/>
      <c r="U81" s="68"/>
      <c r="AD81" s="147"/>
      <c r="AF81" s="109">
        <f ca="1">G30</f>
        <v>20.310698519995757</v>
      </c>
      <c r="AG81" s="110">
        <f t="shared" si="36"/>
        <v>20</v>
      </c>
      <c r="AH81" s="112">
        <f ca="1">F45</f>
        <v>1.5534925999787896E-2</v>
      </c>
      <c r="AI81" s="63"/>
      <c r="AJ81" s="63"/>
      <c r="AK81" s="63"/>
      <c r="AL81" s="63"/>
      <c r="AM81" s="63"/>
      <c r="AN81" s="63"/>
      <c r="AO81" s="63"/>
      <c r="AP81" s="63"/>
      <c r="AQ81" s="63"/>
    </row>
    <row r="82" spans="2:43" x14ac:dyDescent="0.2">
      <c r="C82" s="108" t="s">
        <v>87</v>
      </c>
      <c r="D82" s="62">
        <f ca="1">P$54/(6*SQRT(H50))</f>
        <v>1.6714706566358017</v>
      </c>
      <c r="T82" s="67"/>
      <c r="V82" s="104" t="s">
        <v>74</v>
      </c>
      <c r="W82" s="104"/>
      <c r="X82" s="126">
        <f ca="1">(AB102-1)/AB103</f>
        <v>1.2755802723905509</v>
      </c>
      <c r="Y82" s="12" t="str">
        <f ca="1">IF(ABS(X82)&lt;X84,"pas de biais systématique","biais systématique")</f>
        <v>pas de biais systématique</v>
      </c>
      <c r="AD82" s="147"/>
      <c r="AF82" s="109">
        <f ca="1">G31</f>
        <v>20.562356004070189</v>
      </c>
      <c r="AG82" s="110">
        <f t="shared" si="36"/>
        <v>20</v>
      </c>
      <c r="AH82" s="112">
        <f ca="1">F46</f>
        <v>2.8117800203509402E-2</v>
      </c>
      <c r="AI82" s="63"/>
      <c r="AJ82" s="63"/>
      <c r="AK82" s="63"/>
      <c r="AL82" s="63"/>
      <c r="AM82" s="63"/>
      <c r="AN82" s="63"/>
      <c r="AO82" s="63"/>
      <c r="AP82" s="63"/>
      <c r="AQ82" s="63"/>
    </row>
    <row r="83" spans="2:43" x14ac:dyDescent="0.2">
      <c r="C83" s="108" t="s">
        <v>89</v>
      </c>
      <c r="D83" s="62">
        <f ca="1">MIN((P55-AH156)/(3*SQRT(H50)),ABS(AH156-P55)/(3*SQRT(H50)))</f>
        <v>1.3083399425776301</v>
      </c>
      <c r="Q83" s="73"/>
      <c r="R83" s="73"/>
      <c r="T83" s="67"/>
      <c r="V83" s="104" t="s">
        <v>75</v>
      </c>
      <c r="W83" s="104"/>
      <c r="X83" s="126">
        <f ca="1">AC102/AC103</f>
        <v>6.790576047076736</v>
      </c>
      <c r="Y83" s="12" t="str">
        <f ca="1">IF(ABS(X83)&lt;X84,"pas de biais relatif","biais relatif")</f>
        <v>biais relatif</v>
      </c>
      <c r="AD83" s="147"/>
      <c r="AF83" s="109">
        <f ca="1">E20</f>
        <v>30.857322489486346</v>
      </c>
      <c r="AG83" s="110">
        <f>R27</f>
        <v>30</v>
      </c>
      <c r="AH83" s="65">
        <f ca="1">D35</f>
        <v>2.8577416316211579E-2</v>
      </c>
      <c r="AI83" s="63"/>
      <c r="AJ83" s="63"/>
      <c r="AK83" s="63"/>
      <c r="AL83" s="63"/>
      <c r="AM83" s="63"/>
      <c r="AN83" s="63"/>
      <c r="AO83" s="63"/>
      <c r="AP83" s="63"/>
      <c r="AQ83" s="63"/>
    </row>
    <row r="84" spans="2:43" ht="15" customHeight="1" thickBot="1" x14ac:dyDescent="0.25">
      <c r="Q84" s="73"/>
      <c r="R84" s="73"/>
      <c r="T84" s="67"/>
      <c r="V84" s="138" t="s">
        <v>76</v>
      </c>
      <c r="W84" s="139"/>
      <c r="X84" s="126">
        <f ca="1">TINV(0.01,AC105)</f>
        <v>2.6108952946762991</v>
      </c>
      <c r="AD84" s="148"/>
      <c r="AF84" s="109">
        <f ca="1">E21</f>
        <v>30.094816281331241</v>
      </c>
      <c r="AG84" s="110">
        <f>AG83</f>
        <v>30</v>
      </c>
      <c r="AH84" s="65">
        <f ca="1">D36</f>
        <v>3.1605427110412698E-3</v>
      </c>
      <c r="AI84" s="63"/>
      <c r="AJ84" s="63"/>
      <c r="AK84" s="63"/>
      <c r="AL84" s="63"/>
      <c r="AM84" s="63"/>
      <c r="AN84" s="63"/>
      <c r="AO84" s="63"/>
      <c r="AP84" s="63"/>
      <c r="AQ84" s="63"/>
    </row>
    <row r="85" spans="2:43" ht="13.5" thickBot="1" x14ac:dyDescent="0.25">
      <c r="Q85" s="73"/>
      <c r="R85" s="73"/>
      <c r="T85" s="67"/>
      <c r="X85" s="73"/>
      <c r="Y85" s="73"/>
      <c r="Z85" s="73"/>
      <c r="AE85" s="64"/>
      <c r="AF85" s="109">
        <f ca="1">E22</f>
        <v>30.925932475680398</v>
      </c>
      <c r="AG85" s="110">
        <f t="shared" ref="AG85:AG118" si="40">AG84</f>
        <v>30</v>
      </c>
      <c r="AH85" s="65">
        <f ca="1">D37</f>
        <v>3.0864415856013183E-2</v>
      </c>
      <c r="AI85" s="65">
        <f ca="1">AVERAGE(AH83:AH118)</f>
        <v>1.568526332732675E-2</v>
      </c>
      <c r="AJ85" s="65">
        <f ca="1">VAR(AH83:AH117)</f>
        <v>1.1252019604723415E-4</v>
      </c>
      <c r="AK85" s="65">
        <f ca="1">AI85-TINV(0.01,G$50)*SQRT(AJ85)</f>
        <v>-1.2007314731058212E-2</v>
      </c>
      <c r="AL85" s="65">
        <f ca="1">AI85+TINV(0.01,G$50)*SQRT(AJ85)</f>
        <v>4.3377841385711713E-2</v>
      </c>
      <c r="AM85" s="65">
        <f>-P$55</f>
        <v>-0.11</v>
      </c>
      <c r="AN85" s="65">
        <f>P$55</f>
        <v>0.11</v>
      </c>
      <c r="AO85" s="63"/>
      <c r="AP85" s="63"/>
      <c r="AQ85" s="63"/>
    </row>
    <row r="86" spans="2:43" ht="13.5" thickBot="1" x14ac:dyDescent="0.3">
      <c r="B86" s="127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9"/>
      <c r="AE86" s="64"/>
      <c r="AF86" s="109">
        <f ca="1">F20</f>
        <v>30.455800103457314</v>
      </c>
      <c r="AG86" s="110">
        <f t="shared" si="40"/>
        <v>30</v>
      </c>
      <c r="AH86" s="65">
        <f ca="1">G44</f>
        <v>7.9815143628085838E-3</v>
      </c>
      <c r="AI86" s="63"/>
      <c r="AJ86" s="63"/>
      <c r="AK86" s="63"/>
      <c r="AL86" s="63"/>
      <c r="AM86" s="63"/>
      <c r="AN86" s="63"/>
      <c r="AO86" s="63"/>
      <c r="AP86" s="63"/>
      <c r="AQ86" s="63"/>
    </row>
    <row r="87" spans="2:43" x14ac:dyDescent="0.25">
      <c r="AE87" s="64"/>
      <c r="AF87" s="109">
        <f ca="1">F21</f>
        <v>30.861904277365955</v>
      </c>
      <c r="AG87" s="110">
        <f t="shared" si="40"/>
        <v>30</v>
      </c>
      <c r="AH87" s="65">
        <f ca="1">G45</f>
        <v>2.0291843710551483E-3</v>
      </c>
      <c r="AI87" s="63"/>
      <c r="AJ87" s="63"/>
      <c r="AK87" s="63"/>
      <c r="AL87" s="63"/>
      <c r="AM87" s="63"/>
      <c r="AN87" s="63"/>
      <c r="AO87" s="63"/>
      <c r="AP87" s="63"/>
      <c r="AQ87" s="63"/>
    </row>
    <row r="88" spans="2:43" x14ac:dyDescent="0.2">
      <c r="B88" s="54" t="s">
        <v>59</v>
      </c>
      <c r="C88" s="89"/>
      <c r="D88" s="89"/>
      <c r="E88" s="89"/>
      <c r="F88" s="89"/>
      <c r="G88" s="118"/>
      <c r="H88" s="118"/>
      <c r="I88" s="118"/>
      <c r="AE88" s="64"/>
      <c r="AF88" s="109">
        <f ca="1">F22</f>
        <v>30.606643090578142</v>
      </c>
      <c r="AG88" s="110">
        <f t="shared" si="40"/>
        <v>30</v>
      </c>
      <c r="AH88" s="65">
        <f ca="1">G46</f>
        <v>1.682080717618839E-2</v>
      </c>
      <c r="AI88" s="63"/>
      <c r="AJ88" s="63"/>
      <c r="AK88" s="63"/>
      <c r="AL88" s="63"/>
      <c r="AM88" s="63"/>
      <c r="AN88" s="63"/>
      <c r="AO88" s="63"/>
      <c r="AP88" s="63"/>
      <c r="AQ88" s="63"/>
    </row>
    <row r="89" spans="2:43" x14ac:dyDescent="0.25">
      <c r="B89" s="55" t="s">
        <v>55</v>
      </c>
      <c r="C89" s="9"/>
      <c r="D89" s="49"/>
      <c r="E89" s="49"/>
      <c r="F89" s="49"/>
      <c r="AE89" s="64"/>
      <c r="AF89" s="109">
        <f ca="1">G20</f>
        <v>30.666111030518913</v>
      </c>
      <c r="AG89" s="110">
        <f>AG88</f>
        <v>30</v>
      </c>
      <c r="AH89" s="65">
        <f ca="1">J41</f>
        <v>2.253234440695473E-2</v>
      </c>
      <c r="AI89" s="63"/>
      <c r="AJ89" s="63"/>
      <c r="AK89" s="63"/>
      <c r="AL89" s="63"/>
      <c r="AM89" s="63"/>
      <c r="AN89" s="63"/>
      <c r="AO89" s="63"/>
      <c r="AP89" s="63"/>
      <c r="AQ89" s="63"/>
    </row>
    <row r="90" spans="2:43" x14ac:dyDescent="0.2">
      <c r="B90" s="55" t="s">
        <v>56</v>
      </c>
      <c r="C90" s="9"/>
      <c r="D90" s="49"/>
      <c r="E90" s="49"/>
      <c r="F90" s="49"/>
      <c r="G90" s="120"/>
      <c r="H90" s="120"/>
      <c r="I90" s="120"/>
      <c r="AE90" s="64"/>
      <c r="AF90" s="109">
        <f ca="1">G21</f>
        <v>30.849165212924159</v>
      </c>
      <c r="AG90" s="110">
        <f t="shared" si="40"/>
        <v>30</v>
      </c>
      <c r="AH90" s="65">
        <f ca="1">J42</f>
        <v>1.9134484967676224E-2</v>
      </c>
      <c r="AI90" s="63"/>
      <c r="AJ90" s="63"/>
      <c r="AK90" s="63"/>
      <c r="AL90" s="63"/>
      <c r="AM90" s="63"/>
      <c r="AN90" s="63"/>
      <c r="AO90" s="63"/>
      <c r="AP90" s="63"/>
      <c r="AQ90" s="63"/>
    </row>
    <row r="91" spans="2:43" x14ac:dyDescent="0.2">
      <c r="B91" s="56" t="s">
        <v>57</v>
      </c>
      <c r="C91" s="9"/>
      <c r="D91" s="49"/>
      <c r="E91" s="49"/>
      <c r="F91" s="49"/>
      <c r="G91" s="119"/>
      <c r="H91" s="13"/>
      <c r="I91" s="13"/>
      <c r="AE91" s="64"/>
      <c r="AF91" s="109">
        <f ca="1">G22</f>
        <v>30.385979286790281</v>
      </c>
      <c r="AG91" s="110">
        <f t="shared" si="40"/>
        <v>30</v>
      </c>
      <c r="AH91" s="65">
        <f ca="1">J43</f>
        <v>2.7812703312342979E-2</v>
      </c>
      <c r="AI91" s="63"/>
      <c r="AJ91" s="63"/>
      <c r="AK91" s="63"/>
      <c r="AL91" s="63"/>
      <c r="AM91" s="63"/>
      <c r="AN91" s="63"/>
      <c r="AO91" s="63"/>
      <c r="AP91" s="63"/>
      <c r="AQ91" s="63"/>
    </row>
    <row r="92" spans="2:43" x14ac:dyDescent="0.2">
      <c r="B92" s="56" t="s">
        <v>58</v>
      </c>
      <c r="C92" s="9"/>
      <c r="D92" s="49"/>
      <c r="E92" s="49"/>
      <c r="F92" s="49"/>
      <c r="G92" s="119"/>
      <c r="AE92" s="64"/>
      <c r="AF92" s="109">
        <f ca="1">N23</f>
        <v>30.291503341115853</v>
      </c>
      <c r="AG92" s="110">
        <f t="shared" si="40"/>
        <v>30</v>
      </c>
      <c r="AH92" s="65">
        <f ca="1">M38</f>
        <v>9.7167780371951729E-3</v>
      </c>
      <c r="AI92" s="63"/>
      <c r="AJ92" s="63"/>
      <c r="AK92" s="63"/>
      <c r="AL92" s="63"/>
      <c r="AM92" s="63"/>
      <c r="AN92" s="63"/>
      <c r="AO92" s="63"/>
      <c r="AP92" s="63"/>
      <c r="AQ92" s="63"/>
    </row>
    <row r="93" spans="2:43" x14ac:dyDescent="0.25">
      <c r="AF93" s="109">
        <f ca="1">N24</f>
        <v>30.408211889292254</v>
      </c>
      <c r="AG93" s="110">
        <f t="shared" si="40"/>
        <v>30</v>
      </c>
      <c r="AH93" s="65">
        <f ca="1">M39</f>
        <v>1.3607062976408457E-2</v>
      </c>
      <c r="AI93" s="63"/>
      <c r="AJ93" s="63"/>
      <c r="AK93" s="63"/>
      <c r="AL93" s="63"/>
      <c r="AM93" s="63"/>
      <c r="AN93" s="63"/>
      <c r="AO93" s="63"/>
      <c r="AP93" s="63"/>
      <c r="AQ93" s="63"/>
    </row>
    <row r="94" spans="2:43" x14ac:dyDescent="0.2">
      <c r="B94" s="57" t="s">
        <v>60</v>
      </c>
      <c r="C94" s="122"/>
      <c r="D94" s="122"/>
      <c r="H94" s="7"/>
      <c r="I94" s="7"/>
      <c r="AF94" s="109">
        <f ca="1">N25</f>
        <v>30.809331603644317</v>
      </c>
      <c r="AG94" s="110">
        <f t="shared" si="40"/>
        <v>30</v>
      </c>
      <c r="AH94" s="65">
        <f ca="1">M40</f>
        <v>2.6977720121477144E-2</v>
      </c>
      <c r="AI94" s="63"/>
      <c r="AJ94" s="63"/>
      <c r="AK94" s="63"/>
      <c r="AL94" s="63"/>
      <c r="AM94" s="63"/>
      <c r="AN94" s="63"/>
      <c r="AO94" s="63"/>
      <c r="AP94" s="63"/>
      <c r="AQ94" s="63"/>
    </row>
    <row r="95" spans="2:43" x14ac:dyDescent="0.2">
      <c r="B95" s="56" t="s">
        <v>61</v>
      </c>
      <c r="C95" s="122"/>
      <c r="D95" s="122"/>
      <c r="H95" s="5"/>
      <c r="I95" s="5"/>
      <c r="J95" s="118"/>
      <c r="K95" s="118"/>
      <c r="L95" s="118"/>
      <c r="M95" s="118"/>
      <c r="N95" s="118"/>
      <c r="O95" s="118"/>
      <c r="P95" s="118"/>
      <c r="Q95" s="33"/>
      <c r="AF95" s="109">
        <f ca="1">O23</f>
        <v>30.964355631405521</v>
      </c>
      <c r="AG95" s="110">
        <f t="shared" si="40"/>
        <v>30</v>
      </c>
      <c r="AH95" s="65">
        <f ca="1">E35</f>
        <v>1.5193336781910372E-2</v>
      </c>
      <c r="AI95" s="63"/>
      <c r="AJ95" s="63"/>
      <c r="AK95" s="63"/>
      <c r="AL95" s="63"/>
      <c r="AM95" s="63"/>
      <c r="AN95" s="63"/>
      <c r="AO95" s="63"/>
      <c r="AP95" s="63"/>
      <c r="AQ95" s="63"/>
    </row>
    <row r="96" spans="2:43" x14ac:dyDescent="0.2">
      <c r="B96" s="56" t="s">
        <v>62</v>
      </c>
      <c r="C96" s="122"/>
      <c r="D96" s="122"/>
      <c r="H96" s="80"/>
      <c r="I96" s="80"/>
      <c r="K96" s="119"/>
      <c r="L96" s="119"/>
      <c r="M96" s="119"/>
      <c r="N96" s="119"/>
      <c r="O96" s="119"/>
      <c r="P96" s="119"/>
      <c r="Q96" s="33"/>
      <c r="S96" s="13"/>
      <c r="T96" s="13"/>
      <c r="AB96" s="40"/>
      <c r="AC96" s="40"/>
      <c r="AD96" s="40"/>
      <c r="AF96" s="109">
        <f ca="1">O24</f>
        <v>30.35624161413077</v>
      </c>
      <c r="AG96" s="110">
        <f t="shared" si="40"/>
        <v>30</v>
      </c>
      <c r="AH96" s="65">
        <f ca="1">E36</f>
        <v>2.8730142578865081E-2</v>
      </c>
      <c r="AI96" s="63"/>
      <c r="AJ96" s="63"/>
      <c r="AK96" s="63"/>
      <c r="AL96" s="63"/>
      <c r="AM96" s="63"/>
      <c r="AN96" s="63"/>
      <c r="AO96" s="63"/>
      <c r="AP96" s="63"/>
      <c r="AQ96" s="63"/>
    </row>
    <row r="97" spans="2:43" x14ac:dyDescent="0.2">
      <c r="H97" s="7"/>
      <c r="I97" s="7"/>
      <c r="J97" s="120"/>
      <c r="K97" s="6"/>
      <c r="L97" s="6"/>
      <c r="M97" s="6"/>
      <c r="N97" s="6"/>
      <c r="O97" s="6"/>
      <c r="P97" s="6"/>
      <c r="Q97" s="124"/>
      <c r="R97" s="124"/>
      <c r="S97" s="13"/>
      <c r="T97" s="13"/>
      <c r="AA97" s="73"/>
      <c r="AB97" s="107">
        <f>R25</f>
        <v>10</v>
      </c>
      <c r="AC97" s="107">
        <f>AB97</f>
        <v>10</v>
      </c>
      <c r="AD97" s="40"/>
      <c r="AF97" s="109">
        <f ca="1">O25</f>
        <v>30.546574601377543</v>
      </c>
      <c r="AG97" s="110">
        <f t="shared" si="40"/>
        <v>30</v>
      </c>
      <c r="AH97" s="65">
        <f ca="1">E37</f>
        <v>2.022143635260476E-2</v>
      </c>
      <c r="AI97" s="63"/>
      <c r="AJ97" s="63"/>
      <c r="AK97" s="63"/>
      <c r="AL97" s="63"/>
      <c r="AM97" s="63"/>
      <c r="AN97" s="63"/>
      <c r="AO97" s="63"/>
      <c r="AP97" s="63"/>
      <c r="AQ97" s="63"/>
    </row>
    <row r="98" spans="2:43" x14ac:dyDescent="0.2">
      <c r="B98" s="75" t="s">
        <v>67</v>
      </c>
      <c r="J98" s="13"/>
      <c r="K98" s="13"/>
      <c r="L98" s="13"/>
      <c r="M98" s="13"/>
      <c r="N98" s="6"/>
      <c r="O98" s="6"/>
      <c r="P98" s="6"/>
      <c r="Q98" s="121"/>
      <c r="R98" s="121"/>
      <c r="T98" s="13"/>
      <c r="AA98" s="73"/>
      <c r="AB98" s="107">
        <f>R28</f>
        <v>40</v>
      </c>
      <c r="AC98" s="107">
        <f>AB98</f>
        <v>40</v>
      </c>
      <c r="AD98" s="40"/>
      <c r="AF98" s="109">
        <f ca="1">P23</f>
        <v>30.082902899969724</v>
      </c>
      <c r="AG98" s="110">
        <f t="shared" si="40"/>
        <v>30</v>
      </c>
      <c r="AH98" s="65">
        <f ca="1">H44</f>
        <v>1.8038041000511651E-2</v>
      </c>
      <c r="AI98" s="63"/>
      <c r="AJ98" s="63"/>
      <c r="AK98" s="63"/>
      <c r="AL98" s="63"/>
      <c r="AM98" s="63"/>
      <c r="AN98" s="63"/>
      <c r="AO98" s="63"/>
      <c r="AP98" s="63"/>
      <c r="AQ98" s="63"/>
    </row>
    <row r="99" spans="2:43" x14ac:dyDescent="0.25">
      <c r="B99" s="12" t="s">
        <v>68</v>
      </c>
      <c r="S99" s="13"/>
      <c r="T99" s="13"/>
      <c r="AA99" s="73"/>
      <c r="AB99" s="106"/>
      <c r="AC99" s="106"/>
      <c r="AD99" s="40"/>
      <c r="AF99" s="109">
        <f ca="1">P24</f>
        <v>30.071713127413599</v>
      </c>
      <c r="AG99" s="110">
        <f t="shared" si="40"/>
        <v>30</v>
      </c>
      <c r="AH99" s="65">
        <f ca="1">H45</f>
        <v>2.636063833449942E-3</v>
      </c>
      <c r="AI99" s="63"/>
      <c r="AJ99" s="63"/>
      <c r="AK99" s="63"/>
      <c r="AL99" s="63"/>
      <c r="AM99" s="63"/>
      <c r="AN99" s="63"/>
      <c r="AO99" s="63"/>
      <c r="AP99" s="63"/>
      <c r="AQ99" s="63"/>
    </row>
    <row r="100" spans="2:43" x14ac:dyDescent="0.25">
      <c r="B100" s="12" t="s">
        <v>69</v>
      </c>
      <c r="S100" s="13"/>
      <c r="T100" s="13"/>
      <c r="AB100" s="40"/>
      <c r="AC100" s="40"/>
      <c r="AD100" s="40"/>
      <c r="AF100" s="109">
        <f ca="1">P25</f>
        <v>30.460155281098608</v>
      </c>
      <c r="AG100" s="110">
        <f t="shared" si="40"/>
        <v>30</v>
      </c>
      <c r="AH100" s="65">
        <f ca="1">H46</f>
        <v>1.8474232259484413E-3</v>
      </c>
      <c r="AI100" s="63"/>
      <c r="AJ100" s="63"/>
      <c r="AK100" s="63"/>
      <c r="AL100" s="63"/>
      <c r="AM100" s="63"/>
      <c r="AN100" s="63"/>
      <c r="AO100" s="63"/>
      <c r="AP100" s="63"/>
      <c r="AQ100" s="63"/>
    </row>
    <row r="101" spans="2:43" x14ac:dyDescent="0.25"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13"/>
      <c r="AB101" s="40"/>
      <c r="AC101" s="40"/>
      <c r="AD101" s="40"/>
      <c r="AF101" s="109">
        <f ca="1">K26</f>
        <v>30.675970332208639</v>
      </c>
      <c r="AG101" s="110">
        <f t="shared" si="40"/>
        <v>30</v>
      </c>
      <c r="AH101" s="65">
        <f ca="1">K41</f>
        <v>8.2669161993709217E-4</v>
      </c>
      <c r="AI101" s="63"/>
      <c r="AJ101" s="63"/>
      <c r="AK101" s="63"/>
      <c r="AL101" s="63"/>
      <c r="AM101" s="63"/>
      <c r="AN101" s="63"/>
      <c r="AO101" s="63"/>
      <c r="AP101" s="63"/>
      <c r="AQ101" s="63"/>
    </row>
    <row r="102" spans="2:43" x14ac:dyDescent="0.2">
      <c r="B102" s="77" t="s">
        <v>70</v>
      </c>
      <c r="J102" s="5"/>
      <c r="K102" s="5"/>
      <c r="L102" s="5"/>
      <c r="M102" s="5"/>
      <c r="N102" s="123"/>
      <c r="O102" s="123"/>
      <c r="P102" s="123"/>
      <c r="Q102" s="122"/>
      <c r="R102" s="122"/>
      <c r="S102" s="7"/>
      <c r="T102" s="13"/>
      <c r="AB102" s="40">
        <f t="array" aca="1" ref="AB102:AC107" ca="1">LINEST(AF11:AF154,AG11:AG154,1,1)</f>
        <v>1.002745346104339</v>
      </c>
      <c r="AC102" s="40">
        <f ca="1"/>
        <v>0.40024559272448101</v>
      </c>
      <c r="AD102" s="40"/>
      <c r="AF102" s="109">
        <f ca="1">K27</f>
        <v>30.574034549030284</v>
      </c>
      <c r="AG102" s="110">
        <f t="shared" si="40"/>
        <v>30</v>
      </c>
      <c r="AH102" s="65">
        <f ca="1">K42</f>
        <v>2.610475972745907E-2</v>
      </c>
      <c r="AI102" s="63"/>
      <c r="AJ102" s="63"/>
      <c r="AK102" s="63"/>
      <c r="AL102" s="63"/>
      <c r="AM102" s="63"/>
      <c r="AN102" s="63"/>
      <c r="AO102" s="63"/>
      <c r="AP102" s="63"/>
      <c r="AQ102" s="63"/>
    </row>
    <row r="103" spans="2:43" x14ac:dyDescent="0.2">
      <c r="B103" s="76" t="s">
        <v>71</v>
      </c>
      <c r="J103" s="80"/>
      <c r="K103" s="80"/>
      <c r="L103" s="80"/>
      <c r="M103" s="80"/>
      <c r="N103" s="123"/>
      <c r="O103" s="123"/>
      <c r="P103" s="123"/>
      <c r="Q103" s="125"/>
      <c r="R103" s="125"/>
      <c r="S103" s="7"/>
      <c r="T103" s="13"/>
      <c r="AB103" s="40">
        <f ca="1"/>
        <v>2.1522331159872367E-3</v>
      </c>
      <c r="AC103" s="40">
        <f ca="1"/>
        <v>5.8941331331792107E-2</v>
      </c>
      <c r="AD103" s="40"/>
      <c r="AF103" s="109">
        <f ca="1">K28</f>
        <v>30.83438109937029</v>
      </c>
      <c r="AG103" s="110">
        <f t="shared" si="40"/>
        <v>30</v>
      </c>
      <c r="AH103" s="65">
        <f ca="1">K43</f>
        <v>3.8759124489553543E-3</v>
      </c>
      <c r="AI103" s="63"/>
      <c r="AJ103" s="63"/>
      <c r="AK103" s="63"/>
      <c r="AL103" s="63"/>
      <c r="AM103" s="63"/>
      <c r="AN103" s="63"/>
      <c r="AO103" s="63"/>
      <c r="AP103" s="63"/>
      <c r="AQ103" s="63"/>
    </row>
    <row r="104" spans="2:43" x14ac:dyDescent="0.2">
      <c r="B104" s="76" t="s">
        <v>72</v>
      </c>
      <c r="J104" s="7"/>
      <c r="K104" s="7"/>
      <c r="L104" s="7"/>
      <c r="M104" s="7"/>
      <c r="N104" s="81"/>
      <c r="O104" s="81"/>
      <c r="P104" s="81"/>
      <c r="Q104" s="125"/>
      <c r="R104" s="125"/>
      <c r="S104" s="125"/>
      <c r="T104" s="125"/>
      <c r="U104" s="125"/>
      <c r="V104" s="125"/>
      <c r="AB104" s="40">
        <f ca="1"/>
        <v>0.99934626513548297</v>
      </c>
      <c r="AC104" s="40">
        <f ca="1"/>
        <v>0.28875237304641915</v>
      </c>
      <c r="AD104" s="40"/>
      <c r="AF104" s="109">
        <f ca="1">L26</f>
        <v>30.024800748598111</v>
      </c>
      <c r="AG104" s="110">
        <f t="shared" si="40"/>
        <v>30</v>
      </c>
      <c r="AH104" s="65">
        <f ca="1">N38</f>
        <v>3.2145187713517265E-2</v>
      </c>
      <c r="AI104" s="63"/>
      <c r="AJ104" s="63"/>
      <c r="AK104" s="63"/>
      <c r="AL104" s="63"/>
      <c r="AM104" s="63"/>
      <c r="AN104" s="63"/>
      <c r="AO104" s="63"/>
      <c r="AP104" s="63"/>
      <c r="AQ104" s="63"/>
    </row>
    <row r="105" spans="2:43" x14ac:dyDescent="0.2">
      <c r="B105" s="76" t="s">
        <v>73</v>
      </c>
      <c r="Q105" s="125"/>
      <c r="R105" s="125"/>
      <c r="S105" s="125"/>
      <c r="T105" s="125"/>
      <c r="U105" s="125"/>
      <c r="V105" s="125"/>
      <c r="AB105" s="40">
        <f ca="1"/>
        <v>217071.44188196721</v>
      </c>
      <c r="AC105" s="40">
        <f ca="1"/>
        <v>142</v>
      </c>
      <c r="AD105" s="40"/>
      <c r="AF105" s="109">
        <f ca="1">L27</f>
        <v>30.783142791823771</v>
      </c>
      <c r="AG105" s="110">
        <f t="shared" si="40"/>
        <v>30</v>
      </c>
      <c r="AH105" s="65">
        <f ca="1">N39</f>
        <v>1.1874720471025668E-2</v>
      </c>
      <c r="AI105" s="63"/>
      <c r="AJ105" s="63"/>
      <c r="AK105" s="63"/>
      <c r="AL105" s="63"/>
      <c r="AM105" s="63"/>
      <c r="AN105" s="63"/>
      <c r="AO105" s="63"/>
      <c r="AP105" s="63"/>
      <c r="AQ105" s="63"/>
    </row>
    <row r="106" spans="2:43" x14ac:dyDescent="0.2">
      <c r="Q106" s="125"/>
      <c r="R106" s="125"/>
      <c r="S106" s="125"/>
      <c r="T106" s="125"/>
      <c r="U106" s="125"/>
      <c r="V106" s="125"/>
      <c r="AB106" s="40">
        <f ca="1"/>
        <v>18098.968124410403</v>
      </c>
      <c r="AC106" s="40">
        <f ca="1"/>
        <v>11.839666477471255</v>
      </c>
      <c r="AD106" s="40"/>
      <c r="AF106" s="109">
        <f ca="1">L28</f>
        <v>30.116277373468662</v>
      </c>
      <c r="AG106" s="110">
        <f t="shared" si="40"/>
        <v>30</v>
      </c>
      <c r="AH106" s="65">
        <f ca="1">N40</f>
        <v>1.8219153379251507E-2</v>
      </c>
      <c r="AI106" s="63"/>
      <c r="AJ106" s="63"/>
      <c r="AK106" s="63"/>
      <c r="AL106" s="63"/>
      <c r="AM106" s="63"/>
      <c r="AN106" s="63"/>
      <c r="AO106" s="63"/>
      <c r="AP106" s="63"/>
      <c r="AQ106" s="63"/>
    </row>
    <row r="107" spans="2:43" x14ac:dyDescent="0.25">
      <c r="Q107" s="86"/>
      <c r="R107" s="86"/>
      <c r="S107" s="86"/>
      <c r="T107" s="86"/>
      <c r="AB107" s="40" t="e">
        <f ca="1"/>
        <v>#N/A</v>
      </c>
      <c r="AC107" s="40" t="e">
        <f ca="1"/>
        <v>#N/A</v>
      </c>
      <c r="AD107" s="40"/>
      <c r="AF107" s="109">
        <f ca="1">M26</f>
        <v>30.815103220980419</v>
      </c>
      <c r="AG107" s="110">
        <f t="shared" si="40"/>
        <v>30</v>
      </c>
      <c r="AH107" s="65">
        <f ca="1">F35</f>
        <v>2.2203701017297073E-2</v>
      </c>
      <c r="AI107" s="63"/>
      <c r="AJ107" s="63"/>
      <c r="AK107" s="63"/>
      <c r="AL107" s="63"/>
      <c r="AM107" s="63"/>
      <c r="AN107" s="63"/>
      <c r="AO107" s="63"/>
      <c r="AP107" s="63"/>
      <c r="AQ107" s="63"/>
    </row>
    <row r="108" spans="2:43" x14ac:dyDescent="0.25">
      <c r="S108" s="13"/>
      <c r="T108" s="13"/>
      <c r="AB108" s="40"/>
      <c r="AC108" s="40"/>
      <c r="AD108" s="40"/>
      <c r="AF108" s="109">
        <f ca="1">M27</f>
        <v>30.040448780709049</v>
      </c>
      <c r="AG108" s="110">
        <f t="shared" si="40"/>
        <v>30</v>
      </c>
      <c r="AH108" s="65">
        <f ca="1">F36</f>
        <v>2.8305507097472038E-2</v>
      </c>
      <c r="AI108" s="63"/>
      <c r="AJ108" s="63"/>
      <c r="AK108" s="63"/>
      <c r="AL108" s="63"/>
      <c r="AM108" s="63"/>
      <c r="AN108" s="63"/>
      <c r="AO108" s="63"/>
      <c r="AP108" s="63"/>
      <c r="AQ108" s="63"/>
    </row>
    <row r="109" spans="2:43" x14ac:dyDescent="0.25">
      <c r="S109" s="13"/>
      <c r="T109" s="13"/>
      <c r="AF109" s="109">
        <f ca="1">M28</f>
        <v>30.838476794666565</v>
      </c>
      <c r="AG109" s="110">
        <f t="shared" si="40"/>
        <v>30</v>
      </c>
      <c r="AH109" s="65">
        <f ca="1">F37</f>
        <v>1.2865976226342779E-2</v>
      </c>
      <c r="AI109" s="63"/>
      <c r="AJ109" s="63"/>
      <c r="AK109" s="63"/>
      <c r="AL109" s="63"/>
      <c r="AM109" s="63"/>
      <c r="AN109" s="63"/>
      <c r="AO109" s="63"/>
      <c r="AP109" s="63"/>
      <c r="AQ109" s="63"/>
    </row>
    <row r="110" spans="2:43" x14ac:dyDescent="0.25">
      <c r="S110" s="13"/>
      <c r="T110" s="13"/>
      <c r="AF110" s="109">
        <f ca="1">H29</f>
        <v>30.239445430884256</v>
      </c>
      <c r="AG110" s="110">
        <f t="shared" si="40"/>
        <v>30</v>
      </c>
      <c r="AH110" s="65">
        <f ca="1">I44</f>
        <v>1.1361044790987984E-2</v>
      </c>
      <c r="AI110" s="63"/>
      <c r="AJ110" s="63"/>
      <c r="AK110" s="63"/>
      <c r="AL110" s="63"/>
      <c r="AM110" s="63"/>
      <c r="AN110" s="63"/>
      <c r="AO110" s="63"/>
      <c r="AP110" s="63"/>
      <c r="AQ110" s="63"/>
    </row>
    <row r="111" spans="2:43" x14ac:dyDescent="0.25">
      <c r="S111" s="13"/>
      <c r="T111" s="13"/>
      <c r="AF111" s="109">
        <f ca="1">H30</f>
        <v>30.060875531131657</v>
      </c>
      <c r="AG111" s="110">
        <f t="shared" si="40"/>
        <v>30</v>
      </c>
      <c r="AH111" s="65">
        <f ca="1">I45</f>
        <v>9.3254024885536246E-4</v>
      </c>
      <c r="AI111" s="63"/>
      <c r="AJ111" s="63"/>
      <c r="AK111" s="63"/>
      <c r="AL111" s="63"/>
      <c r="AM111" s="63"/>
      <c r="AN111" s="63"/>
      <c r="AO111" s="63"/>
      <c r="AP111" s="63"/>
      <c r="AQ111" s="63"/>
    </row>
    <row r="112" spans="2:43" x14ac:dyDescent="0.25">
      <c r="S112" s="13"/>
      <c r="T112" s="13"/>
      <c r="AF112" s="109">
        <f ca="1">H31</f>
        <v>30.504624215285652</v>
      </c>
      <c r="AG112" s="110">
        <f t="shared" si="40"/>
        <v>30</v>
      </c>
      <c r="AH112" s="65">
        <f ca="1">I46</f>
        <v>2.3112863159399977E-2</v>
      </c>
      <c r="AI112" s="63"/>
      <c r="AJ112" s="63"/>
      <c r="AK112" s="63"/>
      <c r="AL112" s="63"/>
      <c r="AM112" s="63"/>
      <c r="AN112" s="63"/>
      <c r="AO112" s="63"/>
      <c r="AP112" s="63"/>
      <c r="AQ112" s="63"/>
    </row>
    <row r="113" spans="19:43" x14ac:dyDescent="0.25">
      <c r="S113" s="13"/>
      <c r="T113" s="13"/>
      <c r="AF113" s="109">
        <f ca="1">I29</f>
        <v>30.541141230015352</v>
      </c>
      <c r="AG113" s="110">
        <f t="shared" si="40"/>
        <v>30</v>
      </c>
      <c r="AH113" s="65">
        <f ca="1">L41</f>
        <v>2.7170107366013996E-2</v>
      </c>
      <c r="AI113" s="63"/>
      <c r="AJ113" s="63"/>
      <c r="AK113" s="63"/>
      <c r="AL113" s="63"/>
      <c r="AM113" s="63"/>
      <c r="AN113" s="63"/>
      <c r="AO113" s="63"/>
      <c r="AP113" s="63"/>
      <c r="AQ113" s="63"/>
    </row>
    <row r="114" spans="19:43" x14ac:dyDescent="0.25">
      <c r="S114" s="13"/>
      <c r="T114" s="13"/>
      <c r="AF114" s="109">
        <f ca="1">I30</f>
        <v>30.079081915003499</v>
      </c>
      <c r="AG114" s="110">
        <f t="shared" si="40"/>
        <v>30</v>
      </c>
      <c r="AH114" s="65">
        <f ca="1">L42</f>
        <v>1.3482926903016779E-3</v>
      </c>
      <c r="AI114" s="63"/>
      <c r="AJ114" s="63"/>
      <c r="AK114" s="63"/>
      <c r="AL114" s="63"/>
      <c r="AM114" s="63"/>
      <c r="AN114" s="63"/>
      <c r="AO114" s="63"/>
      <c r="AP114" s="63"/>
      <c r="AQ114" s="63"/>
    </row>
    <row r="115" spans="19:43" x14ac:dyDescent="0.25">
      <c r="S115" s="13"/>
      <c r="T115" s="13"/>
      <c r="AF115" s="109">
        <f ca="1">I31</f>
        <v>30.05542269677845</v>
      </c>
      <c r="AG115" s="110">
        <f t="shared" si="40"/>
        <v>30</v>
      </c>
      <c r="AH115" s="65">
        <f ca="1">L43</f>
        <v>2.7949226488885426E-2</v>
      </c>
      <c r="AI115" s="63"/>
      <c r="AJ115" s="63"/>
      <c r="AK115" s="63"/>
      <c r="AL115" s="63"/>
      <c r="AM115" s="63"/>
      <c r="AN115" s="63"/>
      <c r="AO115" s="63"/>
      <c r="AP115" s="63"/>
      <c r="AQ115" s="63"/>
    </row>
    <row r="116" spans="19:43" x14ac:dyDescent="0.25">
      <c r="S116" s="13"/>
      <c r="T116" s="13"/>
      <c r="AF116" s="109">
        <f ca="1">J29</f>
        <v>30.34083134372964</v>
      </c>
      <c r="AG116" s="110">
        <f t="shared" si="40"/>
        <v>30</v>
      </c>
      <c r="AH116" s="65">
        <f ca="1">O38</f>
        <v>2.7634299989907074E-3</v>
      </c>
      <c r="AI116" s="63"/>
      <c r="AJ116" s="63"/>
      <c r="AK116" s="63"/>
      <c r="AL116" s="63"/>
      <c r="AM116" s="63"/>
      <c r="AN116" s="63"/>
      <c r="AO116" s="63"/>
      <c r="AP116" s="63"/>
      <c r="AQ116" s="63"/>
    </row>
    <row r="117" spans="19:43" x14ac:dyDescent="0.25">
      <c r="S117" s="13"/>
      <c r="T117" s="13"/>
      <c r="AF117" s="109">
        <f ca="1">J30</f>
        <v>30.02797620746566</v>
      </c>
      <c r="AG117" s="110">
        <f t="shared" si="40"/>
        <v>30</v>
      </c>
      <c r="AH117" s="65">
        <f ca="1">O39</f>
        <v>2.3904375804533196E-3</v>
      </c>
      <c r="AI117" s="63"/>
      <c r="AJ117" s="63"/>
      <c r="AK117" s="63"/>
      <c r="AL117" s="63"/>
      <c r="AM117" s="63"/>
      <c r="AN117" s="63"/>
      <c r="AO117" s="63"/>
      <c r="AP117" s="63"/>
      <c r="AQ117" s="63"/>
    </row>
    <row r="118" spans="19:43" x14ac:dyDescent="0.25">
      <c r="S118" s="13"/>
      <c r="T118" s="13"/>
      <c r="AF118" s="109">
        <f ca="1">J31</f>
        <v>30.693385894782001</v>
      </c>
      <c r="AG118" s="110">
        <f t="shared" si="40"/>
        <v>30</v>
      </c>
      <c r="AH118" s="65">
        <f ca="1">O40</f>
        <v>1.5338509369953623E-2</v>
      </c>
      <c r="AI118" s="63"/>
      <c r="AJ118" s="63"/>
      <c r="AK118" s="63"/>
      <c r="AL118" s="63"/>
      <c r="AM118" s="63"/>
      <c r="AN118" s="63"/>
      <c r="AO118" s="63"/>
      <c r="AP118" s="63"/>
      <c r="AQ118" s="63"/>
    </row>
    <row r="119" spans="19:43" x14ac:dyDescent="0.25">
      <c r="AF119" s="109">
        <f ca="1">K20</f>
        <v>40.442457642937391</v>
      </c>
      <c r="AG119" s="110">
        <f>R28</f>
        <v>40</v>
      </c>
      <c r="AH119" s="65">
        <f ca="1">J35</f>
        <v>1.1061441073434874E-2</v>
      </c>
      <c r="AI119" s="63"/>
      <c r="AJ119" s="63"/>
      <c r="AK119" s="63"/>
      <c r="AL119" s="63"/>
      <c r="AM119" s="63"/>
      <c r="AN119" s="63"/>
      <c r="AO119" s="63"/>
      <c r="AP119" s="63"/>
      <c r="AQ119" s="63"/>
    </row>
    <row r="120" spans="19:43" x14ac:dyDescent="0.25">
      <c r="AF120" s="109">
        <f ca="1">K21</f>
        <v>40.490509188674395</v>
      </c>
      <c r="AG120" s="110">
        <f>AG119</f>
        <v>40</v>
      </c>
      <c r="AH120" s="65">
        <f ca="1">J36</f>
        <v>1.2262729716859821E-2</v>
      </c>
      <c r="AI120" s="63"/>
      <c r="AJ120" s="63"/>
      <c r="AK120" s="63"/>
      <c r="AL120" s="63"/>
      <c r="AM120" s="63"/>
      <c r="AN120" s="63"/>
      <c r="AO120" s="63"/>
      <c r="AP120" s="63"/>
      <c r="AQ120" s="63"/>
    </row>
    <row r="121" spans="19:43" x14ac:dyDescent="0.25">
      <c r="AF121" s="109">
        <f ca="1">K22</f>
        <v>40.051117099493133</v>
      </c>
      <c r="AG121" s="110">
        <f t="shared" ref="AG121:AG154" si="41">AG120</f>
        <v>40</v>
      </c>
      <c r="AH121" s="65">
        <f ca="1">J37</f>
        <v>1.2779274873282453E-3</v>
      </c>
      <c r="AI121" s="65">
        <f ca="1">AVERAGE(AH119:AH154)</f>
        <v>1.3293718350971337E-2</v>
      </c>
      <c r="AJ121" s="65">
        <f ca="1">VAR(AH119:AH153)</f>
        <v>4.4870813208048015E-5</v>
      </c>
      <c r="AK121" s="65">
        <f ca="1">AI121-TINV(0.01,G$50)*SQRT(AJ121)</f>
        <v>-4.1938779342094636E-3</v>
      </c>
      <c r="AL121" s="65">
        <f ca="1">AI121+TINV(0.01,G$50)*SQRT(AJ121)</f>
        <v>3.0781314636152135E-2</v>
      </c>
      <c r="AM121" s="65">
        <f>-P$55</f>
        <v>-0.11</v>
      </c>
      <c r="AN121" s="65">
        <f>P$55</f>
        <v>0.11</v>
      </c>
      <c r="AO121" s="63"/>
      <c r="AP121" s="63"/>
      <c r="AQ121" s="63"/>
    </row>
    <row r="122" spans="19:43" x14ac:dyDescent="0.25">
      <c r="AF122" s="109">
        <f ca="1">H23</f>
        <v>40.698357681802818</v>
      </c>
      <c r="AG122" s="110">
        <f t="shared" si="41"/>
        <v>40</v>
      </c>
      <c r="AH122" s="65">
        <f ca="1">G38</f>
        <v>1.7458942045070369E-2</v>
      </c>
      <c r="AI122" s="63"/>
      <c r="AJ122" s="63"/>
      <c r="AK122" s="63"/>
      <c r="AL122" s="63"/>
      <c r="AM122" s="63"/>
      <c r="AN122" s="63"/>
      <c r="AO122" s="63"/>
      <c r="AP122" s="63"/>
      <c r="AQ122" s="63"/>
    </row>
    <row r="123" spans="19:43" x14ac:dyDescent="0.25">
      <c r="AF123" s="109">
        <f ca="1">H24</f>
        <v>40.654954915648176</v>
      </c>
      <c r="AG123" s="110">
        <f t="shared" si="41"/>
        <v>40</v>
      </c>
      <c r="AH123" s="65">
        <f ca="1">G39</f>
        <v>1.63738728912044E-2</v>
      </c>
      <c r="AI123" s="63"/>
      <c r="AJ123" s="63"/>
      <c r="AK123" s="63"/>
      <c r="AL123" s="63"/>
      <c r="AM123" s="63"/>
      <c r="AN123" s="63"/>
      <c r="AO123" s="63"/>
      <c r="AP123" s="63"/>
      <c r="AQ123" s="63"/>
    </row>
    <row r="124" spans="19:43" x14ac:dyDescent="0.25">
      <c r="AF124" s="109">
        <f ca="1">H25</f>
        <v>40.265285000999889</v>
      </c>
      <c r="AG124" s="110">
        <f t="shared" si="41"/>
        <v>40</v>
      </c>
      <c r="AH124" s="65">
        <f ca="1">G40</f>
        <v>6.6321250249972152E-3</v>
      </c>
      <c r="AI124" s="63"/>
      <c r="AJ124" s="63"/>
      <c r="AK124" s="63"/>
      <c r="AL124" s="63"/>
      <c r="AM124" s="63"/>
      <c r="AN124" s="63"/>
      <c r="AO124" s="63"/>
      <c r="AP124" s="63"/>
      <c r="AQ124" s="63"/>
    </row>
    <row r="125" spans="19:43" x14ac:dyDescent="0.25">
      <c r="AF125" s="109">
        <f ca="1">E26</f>
        <v>40.540497373773327</v>
      </c>
      <c r="AG125" s="110">
        <f t="shared" si="41"/>
        <v>40</v>
      </c>
      <c r="AH125" s="65">
        <f ca="1">D41</f>
        <v>1.3512434344333135E-2</v>
      </c>
      <c r="AI125" s="63"/>
      <c r="AJ125" s="63"/>
      <c r="AK125" s="63"/>
      <c r="AL125" s="63"/>
      <c r="AM125" s="63"/>
      <c r="AN125" s="63"/>
      <c r="AO125" s="63"/>
      <c r="AP125" s="63"/>
      <c r="AQ125" s="63"/>
    </row>
    <row r="126" spans="19:43" x14ac:dyDescent="0.25">
      <c r="AF126" s="109">
        <f ca="1">E27</f>
        <v>40.216077173163285</v>
      </c>
      <c r="AG126" s="110">
        <f t="shared" si="41"/>
        <v>40</v>
      </c>
      <c r="AH126" s="65">
        <f ca="1">D42</f>
        <v>5.4019293290821224E-3</v>
      </c>
      <c r="AI126" s="63"/>
      <c r="AJ126" s="63"/>
      <c r="AK126" s="63"/>
      <c r="AL126" s="63"/>
      <c r="AM126" s="63"/>
      <c r="AN126" s="63"/>
      <c r="AO126" s="63"/>
      <c r="AP126" s="63"/>
      <c r="AQ126" s="63"/>
    </row>
    <row r="127" spans="19:43" x14ac:dyDescent="0.25">
      <c r="AF127" s="109">
        <f ca="1">E28</f>
        <v>40.628092465196922</v>
      </c>
      <c r="AG127" s="110">
        <f>AG126</f>
        <v>40</v>
      </c>
      <c r="AH127" s="65">
        <f ca="1">D43</f>
        <v>1.5702311629923082E-2</v>
      </c>
      <c r="AI127" s="63"/>
      <c r="AJ127" s="63"/>
      <c r="AK127" s="63"/>
      <c r="AL127" s="63"/>
      <c r="AM127" s="63"/>
      <c r="AN127" s="63"/>
      <c r="AO127" s="63"/>
      <c r="AP127" s="63"/>
      <c r="AQ127" s="63"/>
    </row>
    <row r="128" spans="19:43" x14ac:dyDescent="0.25">
      <c r="AF128" s="109">
        <f ca="1">N29</f>
        <v>40.012783635250862</v>
      </c>
      <c r="AG128" s="110">
        <f t="shared" si="41"/>
        <v>40</v>
      </c>
      <c r="AH128" s="65">
        <f ca="1">M44</f>
        <v>3.1959088127164748E-4</v>
      </c>
      <c r="AI128" s="63"/>
      <c r="AJ128" s="63"/>
      <c r="AK128" s="63"/>
      <c r="AL128" s="63"/>
      <c r="AM128" s="63"/>
      <c r="AN128" s="63"/>
      <c r="AO128" s="63"/>
      <c r="AP128" s="63"/>
      <c r="AQ128" s="63"/>
    </row>
    <row r="129" spans="32:43" x14ac:dyDescent="0.25">
      <c r="AF129" s="109">
        <f ca="1">N30</f>
        <v>40.830200413038092</v>
      </c>
      <c r="AG129" s="110">
        <f t="shared" si="41"/>
        <v>40</v>
      </c>
      <c r="AH129" s="65">
        <f ca="1">M45</f>
        <v>2.0755010325952394E-2</v>
      </c>
      <c r="AI129" s="63"/>
      <c r="AJ129" s="63"/>
      <c r="AK129" s="63"/>
      <c r="AL129" s="63"/>
      <c r="AM129" s="63"/>
      <c r="AN129" s="63"/>
      <c r="AO129" s="63"/>
      <c r="AP129" s="63"/>
      <c r="AQ129" s="63"/>
    </row>
    <row r="130" spans="32:43" x14ac:dyDescent="0.25">
      <c r="AF130" s="109">
        <f ca="1">N31</f>
        <v>40.39316192594265</v>
      </c>
      <c r="AG130" s="110">
        <f t="shared" si="41"/>
        <v>40</v>
      </c>
      <c r="AH130" s="65">
        <f ca="1">M46</f>
        <v>9.8290481485663328E-3</v>
      </c>
      <c r="AI130" s="63"/>
      <c r="AJ130" s="63"/>
      <c r="AK130" s="63"/>
      <c r="AL130" s="63"/>
      <c r="AM130" s="63"/>
      <c r="AN130" s="63"/>
      <c r="AO130" s="63"/>
      <c r="AP130" s="63"/>
      <c r="AQ130" s="63"/>
    </row>
    <row r="131" spans="32:43" x14ac:dyDescent="0.25">
      <c r="AF131" s="109">
        <f ca="1">L20</f>
        <v>40.779369805853946</v>
      </c>
      <c r="AG131" s="110">
        <f t="shared" si="41"/>
        <v>40</v>
      </c>
      <c r="AH131" s="65">
        <f ca="1">K35</f>
        <v>1.9484245146348611E-2</v>
      </c>
      <c r="AI131" s="63"/>
      <c r="AJ131" s="63"/>
      <c r="AK131" s="63"/>
      <c r="AL131" s="63"/>
      <c r="AM131" s="63"/>
      <c r="AN131" s="63"/>
      <c r="AO131" s="63"/>
      <c r="AP131" s="63"/>
      <c r="AQ131" s="63"/>
    </row>
    <row r="132" spans="32:43" x14ac:dyDescent="0.25">
      <c r="AF132" s="109">
        <f ca="1">L21</f>
        <v>40.525716672540199</v>
      </c>
      <c r="AG132" s="110">
        <f t="shared" si="41"/>
        <v>40</v>
      </c>
      <c r="AH132" s="65">
        <f ca="1">K36</f>
        <v>1.3142916813504879E-2</v>
      </c>
      <c r="AI132" s="63"/>
      <c r="AJ132" s="63"/>
      <c r="AK132" s="63"/>
      <c r="AL132" s="63"/>
      <c r="AM132" s="63"/>
      <c r="AN132" s="63"/>
      <c r="AO132" s="63"/>
      <c r="AP132" s="63"/>
      <c r="AQ132" s="63"/>
    </row>
    <row r="133" spans="32:43" x14ac:dyDescent="0.25">
      <c r="AF133" s="109">
        <f ca="1">L22</f>
        <v>40.727955298887878</v>
      </c>
      <c r="AG133" s="110">
        <f t="shared" si="41"/>
        <v>40</v>
      </c>
      <c r="AH133" s="65">
        <f ca="1">K37</f>
        <v>1.8198882472197031E-2</v>
      </c>
      <c r="AI133" s="63"/>
      <c r="AJ133" s="63"/>
      <c r="AK133" s="63"/>
      <c r="AL133" s="63"/>
      <c r="AM133" s="63"/>
      <c r="AN133" s="63"/>
      <c r="AO133" s="63"/>
      <c r="AP133" s="63"/>
      <c r="AQ133" s="63"/>
    </row>
    <row r="134" spans="32:43" x14ac:dyDescent="0.25">
      <c r="AF134" s="109">
        <f ca="1">I23</f>
        <v>40.936433585545146</v>
      </c>
      <c r="AG134" s="110">
        <f t="shared" si="41"/>
        <v>40</v>
      </c>
      <c r="AH134" s="65">
        <f ca="1">H38</f>
        <v>2.3410839638628556E-2</v>
      </c>
      <c r="AI134" s="63"/>
      <c r="AJ134" s="63"/>
      <c r="AK134" s="63"/>
      <c r="AL134" s="63"/>
      <c r="AM134" s="63"/>
      <c r="AN134" s="63"/>
      <c r="AO134" s="63"/>
      <c r="AP134" s="63"/>
      <c r="AQ134" s="63"/>
    </row>
    <row r="135" spans="32:43" x14ac:dyDescent="0.25">
      <c r="AF135" s="109">
        <f ca="1">I24</f>
        <v>40.722689281820557</v>
      </c>
      <c r="AG135" s="110">
        <f t="shared" si="41"/>
        <v>40</v>
      </c>
      <c r="AH135" s="65">
        <f ca="1">H39</f>
        <v>1.806723204551397E-2</v>
      </c>
      <c r="AI135" s="63"/>
      <c r="AJ135" s="63"/>
      <c r="AK135" s="63"/>
      <c r="AL135" s="63"/>
      <c r="AM135" s="63"/>
      <c r="AN135" s="63"/>
      <c r="AO135" s="63"/>
      <c r="AP135" s="63"/>
      <c r="AQ135" s="63"/>
    </row>
    <row r="136" spans="32:43" x14ac:dyDescent="0.25">
      <c r="AF136" s="109">
        <f ca="1">I25</f>
        <v>40.209642567096253</v>
      </c>
      <c r="AG136" s="110">
        <f t="shared" si="41"/>
        <v>40</v>
      </c>
      <c r="AH136" s="65">
        <f ca="1">H40</f>
        <v>5.2410641774063293E-3</v>
      </c>
      <c r="AI136" s="63"/>
      <c r="AJ136" s="63"/>
      <c r="AK136" s="63"/>
      <c r="AL136" s="63"/>
      <c r="AM136" s="63"/>
      <c r="AN136" s="63"/>
      <c r="AO136" s="63"/>
      <c r="AP136" s="63"/>
      <c r="AQ136" s="63"/>
    </row>
    <row r="137" spans="32:43" x14ac:dyDescent="0.25">
      <c r="AF137" s="109">
        <f ca="1">F26</f>
        <v>40.856188817123261</v>
      </c>
      <c r="AG137" s="110">
        <f t="shared" si="41"/>
        <v>40</v>
      </c>
      <c r="AH137" s="65">
        <f ca="1">E41</f>
        <v>2.1404720428081614E-2</v>
      </c>
      <c r="AI137" s="63"/>
      <c r="AJ137" s="63"/>
      <c r="AK137" s="63"/>
      <c r="AL137" s="63"/>
      <c r="AM137" s="63"/>
      <c r="AN137" s="63"/>
      <c r="AO137" s="63"/>
      <c r="AP137" s="63"/>
      <c r="AQ137" s="63"/>
    </row>
    <row r="138" spans="32:43" x14ac:dyDescent="0.25">
      <c r="AF138" s="109">
        <f ca="1">F27</f>
        <v>40.237796332435352</v>
      </c>
      <c r="AG138" s="110">
        <f t="shared" si="41"/>
        <v>40</v>
      </c>
      <c r="AH138" s="65">
        <f ca="1">E42</f>
        <v>5.9449083108837897E-3</v>
      </c>
      <c r="AI138" s="63"/>
      <c r="AJ138" s="63"/>
      <c r="AK138" s="63"/>
      <c r="AL138" s="63"/>
      <c r="AM138" s="63"/>
      <c r="AN138" s="63"/>
      <c r="AO138" s="63"/>
      <c r="AP138" s="63"/>
      <c r="AQ138" s="63"/>
    </row>
    <row r="139" spans="32:43" x14ac:dyDescent="0.25">
      <c r="AF139" s="109">
        <f ca="1">F28</f>
        <v>40.813264381839168</v>
      </c>
      <c r="AG139" s="110">
        <f t="shared" si="41"/>
        <v>40</v>
      </c>
      <c r="AH139" s="65">
        <f ca="1">E43</f>
        <v>2.0331609545979124E-2</v>
      </c>
      <c r="AI139" s="63"/>
      <c r="AJ139" s="63"/>
      <c r="AK139" s="63"/>
      <c r="AL139" s="63"/>
      <c r="AM139" s="63"/>
      <c r="AN139" s="63"/>
      <c r="AO139" s="63"/>
      <c r="AP139" s="63"/>
      <c r="AQ139" s="63"/>
    </row>
    <row r="140" spans="32:43" x14ac:dyDescent="0.25">
      <c r="AF140" s="109">
        <f ca="1">O29</f>
        <v>40.780701940324782</v>
      </c>
      <c r="AG140" s="110">
        <f t="shared" si="41"/>
        <v>40</v>
      </c>
      <c r="AH140" s="65">
        <f ca="1">N44</f>
        <v>1.9517548508119598E-2</v>
      </c>
      <c r="AI140" s="63"/>
      <c r="AJ140" s="63"/>
      <c r="AK140" s="63"/>
      <c r="AL140" s="63"/>
      <c r="AM140" s="63"/>
      <c r="AN140" s="63"/>
      <c r="AO140" s="63"/>
      <c r="AP140" s="63"/>
      <c r="AQ140" s="63"/>
    </row>
    <row r="141" spans="32:43" x14ac:dyDescent="0.25">
      <c r="AF141" s="109">
        <f ca="1">O30</f>
        <v>40.29871519128303</v>
      </c>
      <c r="AG141" s="110">
        <f t="shared" si="41"/>
        <v>40</v>
      </c>
      <c r="AH141" s="65">
        <f ca="1">N45</f>
        <v>7.4678797820757481E-3</v>
      </c>
      <c r="AI141" s="63"/>
      <c r="AJ141" s="63"/>
      <c r="AK141" s="63"/>
      <c r="AL141" s="63"/>
      <c r="AM141" s="63"/>
      <c r="AN141" s="63"/>
      <c r="AO141" s="63"/>
      <c r="AP141" s="63"/>
      <c r="AQ141" s="63"/>
    </row>
    <row r="142" spans="32:43" x14ac:dyDescent="0.25">
      <c r="AF142" s="109">
        <f ca="1">O31</f>
        <v>40.662395809996013</v>
      </c>
      <c r="AG142" s="110">
        <f t="shared" si="41"/>
        <v>40</v>
      </c>
      <c r="AH142" s="65">
        <f ca="1">N46</f>
        <v>1.6559895249900425E-2</v>
      </c>
      <c r="AI142" s="63"/>
      <c r="AJ142" s="63"/>
      <c r="AK142" s="63"/>
      <c r="AL142" s="63"/>
      <c r="AM142" s="63"/>
      <c r="AN142" s="63"/>
      <c r="AO142" s="63"/>
      <c r="AP142" s="63"/>
      <c r="AQ142" s="63"/>
    </row>
    <row r="143" spans="32:43" x14ac:dyDescent="0.25">
      <c r="AF143" s="109">
        <f ca="1">M20</f>
        <v>40.164562209084941</v>
      </c>
      <c r="AG143" s="110">
        <f t="shared" si="41"/>
        <v>40</v>
      </c>
      <c r="AH143" s="65">
        <f ca="1">L35</f>
        <v>4.114055227123492E-3</v>
      </c>
      <c r="AI143" s="63"/>
      <c r="AJ143" s="63"/>
      <c r="AK143" s="63"/>
      <c r="AL143" s="63"/>
      <c r="AM143" s="63"/>
      <c r="AN143" s="63"/>
      <c r="AO143" s="63"/>
      <c r="AP143" s="63"/>
      <c r="AQ143" s="63"/>
    </row>
    <row r="144" spans="32:43" x14ac:dyDescent="0.25">
      <c r="AF144" s="109">
        <f ca="1">M21</f>
        <v>40.430645736450991</v>
      </c>
      <c r="AG144" s="110">
        <f t="shared" si="41"/>
        <v>40</v>
      </c>
      <c r="AH144" s="65">
        <f ca="1">L36</f>
        <v>1.0766143411274687E-2</v>
      </c>
      <c r="AI144" s="63"/>
      <c r="AJ144" s="63"/>
      <c r="AK144" s="63"/>
      <c r="AL144" s="63"/>
      <c r="AM144" s="63"/>
      <c r="AN144" s="63"/>
      <c r="AO144" s="63"/>
      <c r="AP144" s="63"/>
      <c r="AQ144" s="63"/>
    </row>
    <row r="145" spans="29:43" x14ac:dyDescent="0.25">
      <c r="AF145" s="109">
        <f ca="1">M22</f>
        <v>40.917660080690304</v>
      </c>
      <c r="AG145" s="110">
        <f t="shared" si="41"/>
        <v>40</v>
      </c>
      <c r="AH145" s="65">
        <f ca="1">L37</f>
        <v>2.2941502017257642E-2</v>
      </c>
      <c r="AI145" s="63"/>
      <c r="AJ145" s="63"/>
      <c r="AK145" s="63"/>
      <c r="AL145" s="63"/>
      <c r="AM145" s="63"/>
      <c r="AN145" s="63"/>
      <c r="AO145" s="63"/>
      <c r="AP145" s="63"/>
      <c r="AQ145" s="63"/>
    </row>
    <row r="146" spans="29:43" x14ac:dyDescent="0.25">
      <c r="AF146" s="109">
        <f ca="1">J23</f>
        <v>40.742501455330739</v>
      </c>
      <c r="AG146" s="110">
        <f t="shared" si="41"/>
        <v>40</v>
      </c>
      <c r="AH146" s="65">
        <f ca="1">I38</f>
        <v>1.8562536383268435E-2</v>
      </c>
      <c r="AI146" s="63"/>
      <c r="AJ146" s="63"/>
      <c r="AK146" s="63"/>
      <c r="AL146" s="63"/>
      <c r="AM146" s="63"/>
      <c r="AN146" s="63"/>
      <c r="AO146" s="63"/>
      <c r="AP146" s="63"/>
      <c r="AQ146" s="63"/>
    </row>
    <row r="147" spans="29:43" x14ac:dyDescent="0.25">
      <c r="AC147" s="86"/>
      <c r="AD147" s="86"/>
      <c r="AE147" s="86"/>
      <c r="AF147" s="109">
        <f ca="1">J24</f>
        <v>40.435646392639519</v>
      </c>
      <c r="AG147" s="110">
        <f t="shared" si="41"/>
        <v>40</v>
      </c>
      <c r="AH147" s="65">
        <f ca="1">I39</f>
        <v>1.0891159815987983E-2</v>
      </c>
      <c r="AI147" s="63"/>
      <c r="AJ147" s="63"/>
      <c r="AK147" s="63"/>
      <c r="AL147" s="63"/>
      <c r="AM147" s="63"/>
      <c r="AN147" s="63"/>
      <c r="AO147" s="63"/>
      <c r="AP147" s="63"/>
      <c r="AQ147" s="63"/>
    </row>
    <row r="148" spans="29:43" x14ac:dyDescent="0.25">
      <c r="AC148" s="86"/>
      <c r="AD148" s="86"/>
      <c r="AE148" s="86"/>
      <c r="AF148" s="109">
        <f ca="1">J25</f>
        <v>40.162421713204388</v>
      </c>
      <c r="AG148" s="110">
        <f t="shared" si="41"/>
        <v>40</v>
      </c>
      <c r="AH148" s="65">
        <f ca="1">I40</f>
        <v>4.0605428301097035E-3</v>
      </c>
      <c r="AI148" s="63"/>
      <c r="AJ148" s="63"/>
      <c r="AK148" s="63"/>
      <c r="AL148" s="63"/>
      <c r="AM148" s="63"/>
      <c r="AN148" s="63"/>
      <c r="AO148" s="63"/>
      <c r="AP148" s="63"/>
      <c r="AQ148" s="63"/>
    </row>
    <row r="149" spans="29:43" x14ac:dyDescent="0.25">
      <c r="AC149" s="86"/>
      <c r="AD149" s="86"/>
      <c r="AE149" s="86"/>
      <c r="AF149" s="109">
        <f ca="1">G26</f>
        <v>40.418188387403106</v>
      </c>
      <c r="AG149" s="110">
        <f t="shared" si="41"/>
        <v>40</v>
      </c>
      <c r="AH149" s="65">
        <f ca="1">F41</f>
        <v>1.0454709685077557E-2</v>
      </c>
      <c r="AI149" s="63"/>
      <c r="AJ149" s="63"/>
      <c r="AK149" s="63"/>
      <c r="AL149" s="63"/>
      <c r="AM149" s="63"/>
      <c r="AN149" s="63"/>
      <c r="AO149" s="63"/>
      <c r="AP149" s="63"/>
      <c r="AQ149" s="63"/>
    </row>
    <row r="150" spans="29:43" x14ac:dyDescent="0.25">
      <c r="AF150" s="109">
        <f ca="1">G27</f>
        <v>40.347575326535519</v>
      </c>
      <c r="AG150" s="110">
        <f t="shared" si="41"/>
        <v>40</v>
      </c>
      <c r="AH150" s="65">
        <f ca="1">F42</f>
        <v>8.6893831633880758E-3</v>
      </c>
      <c r="AI150" s="63"/>
      <c r="AJ150" s="63"/>
      <c r="AK150" s="63"/>
      <c r="AL150" s="63"/>
      <c r="AM150" s="63"/>
      <c r="AN150" s="63"/>
      <c r="AO150" s="63"/>
      <c r="AP150" s="63"/>
      <c r="AQ150" s="63"/>
    </row>
    <row r="151" spans="29:43" x14ac:dyDescent="0.25">
      <c r="AF151" s="109">
        <f ca="1">G28</f>
        <v>40.857494735023103</v>
      </c>
      <c r="AG151" s="110">
        <f t="shared" si="41"/>
        <v>40</v>
      </c>
      <c r="AH151" s="65">
        <f ca="1">F43</f>
        <v>2.1437368375577526E-2</v>
      </c>
      <c r="AI151" s="63"/>
      <c r="AJ151" s="63"/>
      <c r="AK151" s="63"/>
      <c r="AL151" s="63"/>
      <c r="AM151" s="63"/>
      <c r="AN151" s="63"/>
      <c r="AO151" s="63"/>
      <c r="AP151" s="63"/>
      <c r="AQ151" s="63"/>
    </row>
    <row r="152" spans="29:43" x14ac:dyDescent="0.25">
      <c r="AF152" s="109">
        <f ca="1">P29</f>
        <v>40.921655914211009</v>
      </c>
      <c r="AG152" s="110">
        <f t="shared" si="41"/>
        <v>40</v>
      </c>
      <c r="AH152" s="65">
        <f ca="1">O44</f>
        <v>2.3041397855275259E-2</v>
      </c>
      <c r="AI152" s="63"/>
      <c r="AJ152" s="63"/>
      <c r="AK152" s="63"/>
      <c r="AL152" s="63"/>
      <c r="AM152" s="63"/>
      <c r="AN152" s="63"/>
      <c r="AO152" s="63"/>
      <c r="AP152" s="63"/>
      <c r="AQ152" s="63"/>
    </row>
    <row r="153" spans="29:43" x14ac:dyDescent="0.25">
      <c r="AF153" s="109">
        <f ca="1">P30</f>
        <v>40.589216445705119</v>
      </c>
      <c r="AG153" s="110">
        <f t="shared" si="41"/>
        <v>40</v>
      </c>
      <c r="AH153" s="65">
        <f ca="1">O45</f>
        <v>1.4730411142628075E-2</v>
      </c>
      <c r="AI153" s="63"/>
      <c r="AJ153" s="63"/>
      <c r="AK153" s="63"/>
      <c r="AL153" s="63"/>
      <c r="AM153" s="63"/>
      <c r="AN153" s="63"/>
      <c r="AO153" s="63"/>
      <c r="AP153" s="63"/>
      <c r="AQ153" s="63"/>
    </row>
    <row r="154" spans="29:43" x14ac:dyDescent="0.25">
      <c r="AF154" s="109">
        <f ca="1">P31</f>
        <v>40.381021828453456</v>
      </c>
      <c r="AG154" s="110">
        <f t="shared" si="41"/>
        <v>40</v>
      </c>
      <c r="AH154" s="65">
        <f ca="1">O46</f>
        <v>9.5255457113363473E-3</v>
      </c>
      <c r="AI154" s="63"/>
      <c r="AJ154" s="63"/>
      <c r="AK154" s="63"/>
      <c r="AL154" s="63"/>
      <c r="AM154" s="63"/>
      <c r="AN154" s="63"/>
      <c r="AO154" s="63"/>
      <c r="AP154" s="63"/>
      <c r="AQ154" s="63"/>
    </row>
    <row r="155" spans="29:43" x14ac:dyDescent="0.25"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</row>
    <row r="156" spans="29:43" x14ac:dyDescent="0.25">
      <c r="AF156" s="63"/>
      <c r="AG156" s="63"/>
      <c r="AH156" s="112">
        <f ca="1">AVERAGE(AH11:AH154)</f>
        <v>2.3897744413171843E-2</v>
      </c>
      <c r="AI156" s="63"/>
      <c r="AJ156" s="63"/>
      <c r="AK156" s="63"/>
      <c r="AL156" s="63"/>
      <c r="AM156" s="63"/>
      <c r="AN156" s="63"/>
      <c r="AO156" s="63"/>
      <c r="AP156" s="63"/>
      <c r="AQ156" s="63"/>
    </row>
    <row r="157" spans="29:43" x14ac:dyDescent="0.25"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</row>
    <row r="158" spans="29:43" x14ac:dyDescent="0.25"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</row>
    <row r="159" spans="29:43" x14ac:dyDescent="0.25"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</row>
  </sheetData>
  <protectedRanges>
    <protectedRange sqref="E20:P31" name="Plage1"/>
  </protectedRanges>
  <mergeCells count="37">
    <mergeCell ref="AD61:AD84"/>
    <mergeCell ref="B17:P17"/>
    <mergeCell ref="R24:S24"/>
    <mergeCell ref="E18:G18"/>
    <mergeCell ref="H18:J18"/>
    <mergeCell ref="AD17:AD57"/>
    <mergeCell ref="M34:O34"/>
    <mergeCell ref="J34:L34"/>
    <mergeCell ref="G34:I34"/>
    <mergeCell ref="D34:F34"/>
    <mergeCell ref="K18:M18"/>
    <mergeCell ref="N18:P18"/>
    <mergeCell ref="B33:O33"/>
    <mergeCell ref="T17:AC17"/>
    <mergeCell ref="B2:AC3"/>
    <mergeCell ref="AD5:AD13"/>
    <mergeCell ref="B15:AC15"/>
    <mergeCell ref="B18:B31"/>
    <mergeCell ref="C20:C22"/>
    <mergeCell ref="C23:C25"/>
    <mergeCell ref="C26:C28"/>
    <mergeCell ref="C29:C31"/>
    <mergeCell ref="C18:D18"/>
    <mergeCell ref="B86:AC86"/>
    <mergeCell ref="B34:B46"/>
    <mergeCell ref="C35:C37"/>
    <mergeCell ref="P35:P37"/>
    <mergeCell ref="C38:C40"/>
    <mergeCell ref="P38:P40"/>
    <mergeCell ref="C41:C43"/>
    <mergeCell ref="P41:P43"/>
    <mergeCell ref="C44:C46"/>
    <mergeCell ref="P44:P46"/>
    <mergeCell ref="B48:E48"/>
    <mergeCell ref="F48:K48"/>
    <mergeCell ref="V84:W84"/>
    <mergeCell ref="L48:M48"/>
  </mergeCells>
  <pageMargins left="0.7" right="0.7" top="0.75" bottom="0.75" header="0.3" footer="0.3"/>
  <pageSetup paperSize="9" orientation="portrait" horizontalDpi="4294967293" verticalDpi="4294967293" r:id="rId1"/>
  <ignoredErrors>
    <ignoredError sqref="AG119:AH119 AH120:AH154 AG11:AG83" formula="1"/>
    <ignoredError sqref="AG120:AG154" evalError="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Validation mesure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MGE. Germa</dc:creator>
  <cp:lastModifiedBy>morgan Germa Colliou</cp:lastModifiedBy>
  <dcterms:created xsi:type="dcterms:W3CDTF">2017-07-13T10:39:54Z</dcterms:created>
  <dcterms:modified xsi:type="dcterms:W3CDTF">2025-10-10T07:26:07Z</dcterms:modified>
</cp:coreProperties>
</file>