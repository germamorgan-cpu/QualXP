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46415D6C-1801-4D11-B233-65C8ACABF994}" xr6:coauthVersionLast="47" xr6:coauthVersionMax="47" xr10:uidLastSave="{00000000-0000-0000-0000-000000000000}"/>
  <bookViews>
    <workbookView xWindow="960" yWindow="1350" windowWidth="27300" windowHeight="15105" tabRatio="828" activeTab="1" xr2:uid="{00000000-000D-0000-FFFF-FFFF00000000}"/>
  </bookViews>
  <sheets>
    <sheet name="CGL4f4n" sheetId="1" r:id="rId1"/>
    <sheet name="CGL4f4n (2)" sheetId="16" r:id="rId2"/>
    <sheet name="Récapitulatif" sheetId="9" state="hidden" r:id="rId3"/>
    <sheet name="Graph Profil" sheetId="10" state="hidden" r:id="rId4"/>
    <sheet name="80%" sheetId="11" state="hidden" r:id="rId5"/>
    <sheet name="90%" sheetId="12" state="hidden" r:id="rId6"/>
    <sheet name="100%" sheetId="13" state="hidden" r:id="rId7"/>
    <sheet name="110%" sheetId="14" state="hidden" r:id="rId8"/>
    <sheet name="120%" sheetId="15" state="hidden" r:id="rId9"/>
  </sheets>
  <definedNames>
    <definedName name="__123Graph_A" hidden="1">#REF!</definedName>
    <definedName name="__123Graph_ARG" hidden="1">#REF!</definedName>
    <definedName name="__123Graph_B" hidden="1">#REF!</definedName>
    <definedName name="__123Graph_BRG" hidden="1">#REF!</definedName>
    <definedName name="__123Graph_C" hidden="1">#REF!</definedName>
    <definedName name="__123Graph_CRG" hidden="1">#REF!</definedName>
    <definedName name="__123Graph_X" hidden="1">#REF!</definedName>
    <definedName name="__123Graph_XRG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NALYTES">#REF!</definedName>
    <definedName name="_xlnm.Print_Area" localSheetId="4">'80%'!$A$1:$I$40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6" i="16" l="1"/>
  <c r="P16" i="16"/>
  <c r="O16" i="16"/>
  <c r="N16" i="16"/>
  <c r="Q15" i="16"/>
  <c r="P15" i="16"/>
  <c r="O15" i="16"/>
  <c r="N15" i="16"/>
  <c r="Q14" i="16"/>
  <c r="P14" i="16"/>
  <c r="O68" i="16" s="1"/>
  <c r="O14" i="16"/>
  <c r="N14" i="16"/>
  <c r="Q13" i="16"/>
  <c r="P13" i="16"/>
  <c r="O13" i="16"/>
  <c r="N13" i="16"/>
  <c r="Q12" i="16"/>
  <c r="P12" i="16"/>
  <c r="O66" i="16" s="1"/>
  <c r="O12" i="16"/>
  <c r="N12" i="16"/>
  <c r="Q11" i="16"/>
  <c r="P11" i="16"/>
  <c r="O11" i="16"/>
  <c r="N11" i="16"/>
  <c r="Q10" i="16"/>
  <c r="P10" i="16"/>
  <c r="O10" i="16"/>
  <c r="N64" i="16" s="1"/>
  <c r="N10" i="16"/>
  <c r="Q9" i="16"/>
  <c r="P9" i="16"/>
  <c r="O62" i="16" s="1"/>
  <c r="O9" i="16"/>
  <c r="N62" i="16" s="1"/>
  <c r="N9" i="16"/>
  <c r="L68" i="16"/>
  <c r="L66" i="16"/>
  <c r="L64" i="16"/>
  <c r="J52" i="16"/>
  <c r="E52" i="16"/>
  <c r="J51" i="16"/>
  <c r="E51" i="16"/>
  <c r="J50" i="16"/>
  <c r="E50" i="16"/>
  <c r="J49" i="16"/>
  <c r="E49" i="16"/>
  <c r="J48" i="16"/>
  <c r="E48" i="16"/>
  <c r="J47" i="16"/>
  <c r="E47" i="16"/>
  <c r="J46" i="16"/>
  <c r="E46" i="16"/>
  <c r="J45" i="16"/>
  <c r="E45" i="16"/>
  <c r="E44" i="16"/>
  <c r="J43" i="16"/>
  <c r="E43" i="16"/>
  <c r="N66" i="16"/>
  <c r="U9" i="16"/>
  <c r="U8" i="16"/>
  <c r="L62" i="16"/>
  <c r="L70" i="16" s="1"/>
  <c r="M64" i="16" l="1"/>
  <c r="N68" i="16"/>
  <c r="M66" i="16"/>
  <c r="M68" i="16"/>
  <c r="R13" i="16"/>
  <c r="O64" i="16"/>
  <c r="R11" i="16"/>
  <c r="R15" i="16"/>
  <c r="R16" i="16"/>
  <c r="Q17" i="16"/>
  <c r="R12" i="16"/>
  <c r="G40" i="16"/>
  <c r="R14" i="16"/>
  <c r="G44" i="16"/>
  <c r="R10" i="16"/>
  <c r="T14" i="16"/>
  <c r="T15" i="16"/>
  <c r="J41" i="16"/>
  <c r="G45" i="16"/>
  <c r="M62" i="16"/>
  <c r="R9" i="16"/>
  <c r="I40" i="16"/>
  <c r="T11" i="16"/>
  <c r="F40" i="16"/>
  <c r="J40" i="16" s="1"/>
  <c r="J42" i="16" s="1"/>
  <c r="G43" i="16"/>
  <c r="Q15" i="1"/>
  <c r="P16" i="1"/>
  <c r="N14" i="1"/>
  <c r="O13" i="1"/>
  <c r="N12" i="1"/>
  <c r="O11" i="1"/>
  <c r="P10" i="1"/>
  <c r="Q9" i="1"/>
  <c r="N15" i="1"/>
  <c r="O16" i="1"/>
  <c r="Q14" i="1"/>
  <c r="P13" i="1"/>
  <c r="Q12" i="1"/>
  <c r="P11" i="1"/>
  <c r="O10" i="1"/>
  <c r="N9" i="1"/>
  <c r="H43" i="16" l="1"/>
  <c r="G52" i="16"/>
  <c r="H52" i="16" s="1"/>
  <c r="G50" i="16"/>
  <c r="H50" i="16" s="1"/>
  <c r="G48" i="16"/>
  <c r="H48" i="16" s="1"/>
  <c r="G47" i="16"/>
  <c r="H47" i="16" s="1"/>
  <c r="G46" i="16"/>
  <c r="H46" i="16" s="1"/>
  <c r="M52" i="16"/>
  <c r="M51" i="16"/>
  <c r="M50" i="16"/>
  <c r="M49" i="16"/>
  <c r="M48" i="16"/>
  <c r="M45" i="16"/>
  <c r="M46" i="16"/>
  <c r="M44" i="16"/>
  <c r="M47" i="16"/>
  <c r="M43" i="16"/>
  <c r="H45" i="16"/>
  <c r="G51" i="16"/>
  <c r="H51" i="16" s="1"/>
  <c r="G49" i="16"/>
  <c r="H49" i="16" s="1"/>
  <c r="H40" i="16"/>
  <c r="K40" i="16"/>
  <c r="M41" i="16"/>
  <c r="H44" i="16"/>
  <c r="Q16" i="1"/>
  <c r="N16" i="1"/>
  <c r="P15" i="1"/>
  <c r="O15" i="1"/>
  <c r="P14" i="1"/>
  <c r="O14" i="1"/>
  <c r="Q13" i="1"/>
  <c r="N13" i="1"/>
  <c r="P12" i="1"/>
  <c r="O12" i="1"/>
  <c r="Q11" i="1"/>
  <c r="N11" i="1"/>
  <c r="Q10" i="1"/>
  <c r="N10" i="1"/>
  <c r="P9" i="1"/>
  <c r="O9" i="1"/>
  <c r="E52" i="1"/>
  <c r="E51" i="1"/>
  <c r="E50" i="1"/>
  <c r="E49" i="1"/>
  <c r="E48" i="1"/>
  <c r="E47" i="1"/>
  <c r="E46" i="1"/>
  <c r="E45" i="1"/>
  <c r="E44" i="1"/>
  <c r="E43" i="1"/>
  <c r="J52" i="1"/>
  <c r="J51" i="1"/>
  <c r="J50" i="1"/>
  <c r="J49" i="1"/>
  <c r="J48" i="1"/>
  <c r="J47" i="1"/>
  <c r="J46" i="1"/>
  <c r="J45" i="1"/>
  <c r="J43" i="1"/>
  <c r="J41" i="1" l="1"/>
  <c r="I43" i="16"/>
  <c r="N43" i="16" s="1"/>
  <c r="I44" i="16"/>
  <c r="K44" i="16" s="1"/>
  <c r="I51" i="16"/>
  <c r="N51" i="16" s="1"/>
  <c r="I45" i="16"/>
  <c r="K45" i="16" s="1"/>
  <c r="I47" i="16"/>
  <c r="K47" i="16" s="1"/>
  <c r="T12" i="16"/>
  <c r="I48" i="16"/>
  <c r="I50" i="16"/>
  <c r="I49" i="16"/>
  <c r="I46" i="16"/>
  <c r="I52" i="16"/>
  <c r="G43" i="1"/>
  <c r="G40" i="1"/>
  <c r="T15" i="1"/>
  <c r="T11" i="1"/>
  <c r="T14" i="1"/>
  <c r="R13" i="1"/>
  <c r="R14" i="1"/>
  <c r="R15" i="1"/>
  <c r="R16" i="1"/>
  <c r="K43" i="16" l="1"/>
  <c r="N44" i="16"/>
  <c r="K51" i="16"/>
  <c r="N47" i="16"/>
  <c r="N45" i="16"/>
  <c r="K49" i="16"/>
  <c r="N49" i="16"/>
  <c r="K46" i="16"/>
  <c r="N46" i="16"/>
  <c r="I41" i="16"/>
  <c r="K50" i="16"/>
  <c r="N50" i="16"/>
  <c r="K48" i="16"/>
  <c r="N48" i="16"/>
  <c r="K52" i="16"/>
  <c r="N52" i="16"/>
  <c r="T13" i="16"/>
  <c r="Z69" i="16"/>
  <c r="AA69" i="16" s="1"/>
  <c r="Z61" i="16"/>
  <c r="AA61" i="16" s="1"/>
  <c r="Z51" i="16"/>
  <c r="AA51" i="16" s="1"/>
  <c r="Z47" i="16"/>
  <c r="AA47" i="16" s="1"/>
  <c r="Z38" i="16"/>
  <c r="AA38" i="16" s="1"/>
  <c r="Z30" i="16"/>
  <c r="AA30" i="16" s="1"/>
  <c r="Z22" i="16"/>
  <c r="AA22" i="16" s="1"/>
  <c r="Z74" i="16"/>
  <c r="AA74" i="16" s="1"/>
  <c r="Z40" i="16"/>
  <c r="AA40" i="16" s="1"/>
  <c r="Z68" i="16"/>
  <c r="AA68" i="16" s="1"/>
  <c r="Z60" i="16"/>
  <c r="AA60" i="16" s="1"/>
  <c r="Z39" i="16"/>
  <c r="AA39" i="16" s="1"/>
  <c r="Z31" i="16"/>
  <c r="AA31" i="16" s="1"/>
  <c r="Z23" i="16"/>
  <c r="AA23" i="16" s="1"/>
  <c r="T16" i="16"/>
  <c r="Z43" i="16"/>
  <c r="AA43" i="16" s="1"/>
  <c r="Z63" i="16"/>
  <c r="AA63" i="16" s="1"/>
  <c r="Z52" i="16"/>
  <c r="AA52" i="16" s="1"/>
  <c r="Z48" i="16"/>
  <c r="AA48" i="16" s="1"/>
  <c r="Z44" i="16"/>
  <c r="AA44" i="16" s="1"/>
  <c r="W8" i="16" s="1"/>
  <c r="W9" i="16" s="1"/>
  <c r="Z32" i="16"/>
  <c r="AA32" i="16" s="1"/>
  <c r="Z24" i="16"/>
  <c r="AA24" i="16" s="1"/>
  <c r="Z41" i="16"/>
  <c r="AA41" i="16" s="1"/>
  <c r="Z55" i="16"/>
  <c r="AA55" i="16" s="1"/>
  <c r="Z14" i="16"/>
  <c r="AA14" i="16" s="1"/>
  <c r="Z62" i="16"/>
  <c r="AA62" i="16" s="1"/>
  <c r="Z53" i="16"/>
  <c r="AA53" i="16" s="1"/>
  <c r="Z33" i="16"/>
  <c r="AA33" i="16" s="1"/>
  <c r="Z25" i="16"/>
  <c r="AA25" i="16" s="1"/>
  <c r="Z17" i="16"/>
  <c r="AA17" i="16" s="1"/>
  <c r="Z54" i="16"/>
  <c r="AA54" i="16" s="1"/>
  <c r="Z67" i="16"/>
  <c r="AA67" i="16" s="1"/>
  <c r="Z59" i="16"/>
  <c r="AA59" i="16" s="1"/>
  <c r="Z50" i="16"/>
  <c r="AA50" i="16" s="1"/>
  <c r="Z46" i="16"/>
  <c r="AA46" i="16" s="1"/>
  <c r="Z36" i="16"/>
  <c r="AA36" i="16" s="1"/>
  <c r="Z28" i="16"/>
  <c r="AA28" i="16" s="1"/>
  <c r="Z20" i="16"/>
  <c r="AA20" i="16" s="1"/>
  <c r="Z72" i="16"/>
  <c r="AA72" i="16" s="1"/>
  <c r="Z16" i="16"/>
  <c r="AA16" i="16" s="1"/>
  <c r="Z66" i="16"/>
  <c r="AA66" i="16" s="1"/>
  <c r="Z58" i="16"/>
  <c r="AA58" i="16" s="1"/>
  <c r="Z37" i="16"/>
  <c r="AA37" i="16" s="1"/>
  <c r="Z29" i="16"/>
  <c r="AA29" i="16" s="1"/>
  <c r="Z21" i="16"/>
  <c r="AA21" i="16" s="1"/>
  <c r="Z73" i="16"/>
  <c r="AA73" i="16" s="1"/>
  <c r="Z42" i="16"/>
  <c r="AA42" i="16" s="1"/>
  <c r="Z56" i="16"/>
  <c r="AA56" i="16" s="1"/>
  <c r="Z65" i="16"/>
  <c r="AA65" i="16" s="1"/>
  <c r="Z57" i="16"/>
  <c r="AA57" i="16" s="1"/>
  <c r="Z49" i="16"/>
  <c r="AA49" i="16" s="1"/>
  <c r="Z45" i="16"/>
  <c r="AA45" i="16" s="1"/>
  <c r="Z34" i="16"/>
  <c r="AA34" i="16" s="1"/>
  <c r="Z26" i="16"/>
  <c r="AA26" i="16" s="1"/>
  <c r="Z18" i="16"/>
  <c r="AA18" i="16" s="1"/>
  <c r="Z70" i="16"/>
  <c r="AA70" i="16" s="1"/>
  <c r="Z15" i="16"/>
  <c r="AA15" i="16" s="1"/>
  <c r="Z64" i="16"/>
  <c r="AA64" i="16" s="1"/>
  <c r="Z35" i="16"/>
  <c r="AA35" i="16" s="1"/>
  <c r="Z27" i="16"/>
  <c r="AA27" i="16" s="1"/>
  <c r="Z19" i="16"/>
  <c r="AA19" i="16" s="1"/>
  <c r="Z71" i="16"/>
  <c r="AA71" i="16" s="1"/>
  <c r="H8" i="1"/>
  <c r="I8" i="1"/>
  <c r="J8" i="1"/>
  <c r="K8" i="1"/>
  <c r="L8" i="1"/>
  <c r="M8" i="1"/>
  <c r="G8" i="1"/>
  <c r="K41" i="16" l="1"/>
  <c r="N41" i="16"/>
  <c r="F54" i="16" s="1"/>
  <c r="I42" i="16"/>
  <c r="G45" i="1"/>
  <c r="I40" i="1"/>
  <c r="R10" i="1"/>
  <c r="R11" i="1"/>
  <c r="R12" i="1"/>
  <c r="R9" i="1"/>
  <c r="G44" i="1"/>
  <c r="F40" i="1"/>
  <c r="O66" i="1"/>
  <c r="L68" i="1"/>
  <c r="O68" i="1"/>
  <c r="N66" i="1"/>
  <c r="O64" i="1"/>
  <c r="M68" i="1"/>
  <c r="N68" i="1"/>
  <c r="O62" i="1"/>
  <c r="M64" i="1"/>
  <c r="N62" i="1"/>
  <c r="N42" i="16" l="1"/>
  <c r="N40" i="16" s="1"/>
  <c r="K42" i="16"/>
  <c r="J40" i="1"/>
  <c r="H45" i="1"/>
  <c r="G52" i="1"/>
  <c r="H52" i="1" s="1"/>
  <c r="H43" i="1"/>
  <c r="H44" i="1"/>
  <c r="H40" i="1"/>
  <c r="G51" i="1"/>
  <c r="H51" i="1" s="1"/>
  <c r="G48" i="1"/>
  <c r="H48" i="1" s="1"/>
  <c r="G50" i="1"/>
  <c r="H50" i="1" s="1"/>
  <c r="G49" i="1"/>
  <c r="H49" i="1" s="1"/>
  <c r="I49" i="1" s="1"/>
  <c r="N49" i="1" s="1"/>
  <c r="G46" i="1"/>
  <c r="H46" i="1" s="1"/>
  <c r="G47" i="1"/>
  <c r="H47" i="1" s="1"/>
  <c r="K40" i="1"/>
  <c r="L64" i="1"/>
  <c r="L66" i="1"/>
  <c r="M66" i="1"/>
  <c r="N64" i="1"/>
  <c r="M62" i="1"/>
  <c r="L62" i="1"/>
  <c r="F56" i="16" l="1"/>
  <c r="L51" i="16"/>
  <c r="O51" i="16" s="1"/>
  <c r="L44" i="16"/>
  <c r="O44" i="16" s="1"/>
  <c r="L47" i="16"/>
  <c r="O47" i="16" s="1"/>
  <c r="L45" i="16"/>
  <c r="O45" i="16" s="1"/>
  <c r="L43" i="16"/>
  <c r="O43" i="16" s="1"/>
  <c r="L48" i="16"/>
  <c r="O48" i="16" s="1"/>
  <c r="L52" i="16"/>
  <c r="O52" i="16" s="1"/>
  <c r="L49" i="16"/>
  <c r="O49" i="16" s="1"/>
  <c r="L46" i="16"/>
  <c r="O46" i="16" s="1"/>
  <c r="L50" i="16"/>
  <c r="O50" i="16" s="1"/>
  <c r="L41" i="16"/>
  <c r="T12" i="1"/>
  <c r="Z14" i="1" s="1"/>
  <c r="I47" i="1"/>
  <c r="N47" i="1" s="1"/>
  <c r="I48" i="1"/>
  <c r="N48" i="1" s="1"/>
  <c r="I51" i="1"/>
  <c r="N51" i="1" s="1"/>
  <c r="I52" i="1"/>
  <c r="I50" i="1"/>
  <c r="N50" i="1" s="1"/>
  <c r="J42" i="1"/>
  <c r="I43" i="1"/>
  <c r="I45" i="1"/>
  <c r="N45" i="1" s="1"/>
  <c r="I44" i="1"/>
  <c r="K49" i="1"/>
  <c r="L70" i="1"/>
  <c r="C3" i="9"/>
  <c r="C2" i="9"/>
  <c r="N43" i="1" l="1"/>
  <c r="T13" i="1"/>
  <c r="T16" i="1"/>
  <c r="K47" i="1"/>
  <c r="K48" i="1"/>
  <c r="K51" i="1"/>
  <c r="K50" i="1"/>
  <c r="K44" i="1"/>
  <c r="N44" i="1"/>
  <c r="K52" i="1"/>
  <c r="N52" i="1"/>
  <c r="M44" i="1"/>
  <c r="M48" i="1"/>
  <c r="M52" i="1"/>
  <c r="M45" i="1"/>
  <c r="M49" i="1"/>
  <c r="M51" i="1"/>
  <c r="M46" i="1"/>
  <c r="M50" i="1"/>
  <c r="M47" i="1"/>
  <c r="M41" i="1"/>
  <c r="M43" i="1"/>
  <c r="K43" i="1"/>
  <c r="I46" i="1"/>
  <c r="I41" i="1" s="1"/>
  <c r="K45" i="1"/>
  <c r="G6" i="9"/>
  <c r="F6" i="9"/>
  <c r="E6" i="9"/>
  <c r="D6" i="9"/>
  <c r="C6" i="9"/>
  <c r="I9" i="14"/>
  <c r="I7" i="12"/>
  <c r="B33" i="15"/>
  <c r="B33" i="14"/>
  <c r="B33" i="13"/>
  <c r="I8" i="13"/>
  <c r="B33" i="12"/>
  <c r="B33" i="11"/>
  <c r="G21" i="9"/>
  <c r="F21" i="9"/>
  <c r="E21" i="9"/>
  <c r="D21" i="9"/>
  <c r="C21" i="9"/>
  <c r="G20" i="9"/>
  <c r="F20" i="9"/>
  <c r="E20" i="9"/>
  <c r="D20" i="9"/>
  <c r="C20" i="9"/>
  <c r="F3" i="9"/>
  <c r="K7" i="9"/>
  <c r="N41" i="1" l="1"/>
  <c r="F54" i="1" s="1"/>
  <c r="N46" i="1"/>
  <c r="K46" i="1"/>
  <c r="C8" i="11"/>
  <c r="C8" i="15"/>
  <c r="C8" i="14"/>
  <c r="C5" i="11"/>
  <c r="K41" i="1" l="1"/>
  <c r="I42" i="1"/>
  <c r="K42" i="1" s="1"/>
  <c r="B8" i="11"/>
  <c r="H8" i="11" s="1"/>
  <c r="I8" i="11" s="1"/>
  <c r="B8" i="15"/>
  <c r="H8" i="15" s="1"/>
  <c r="I8" i="15" s="1"/>
  <c r="B8" i="14"/>
  <c r="H8" i="14" s="1"/>
  <c r="I8" i="14" s="1"/>
  <c r="C9" i="15"/>
  <c r="B9" i="15"/>
  <c r="C9" i="13"/>
  <c r="B9" i="13"/>
  <c r="C9" i="12"/>
  <c r="B9" i="12"/>
  <c r="C9" i="11"/>
  <c r="B9" i="11"/>
  <c r="C8" i="12"/>
  <c r="B8" i="12"/>
  <c r="C7" i="15"/>
  <c r="B7" i="15"/>
  <c r="C7" i="14"/>
  <c r="B7" i="14"/>
  <c r="C7" i="13"/>
  <c r="B7" i="13"/>
  <c r="C7" i="11"/>
  <c r="B7" i="11"/>
  <c r="C6" i="15"/>
  <c r="B6" i="15"/>
  <c r="C6" i="14"/>
  <c r="B6" i="14"/>
  <c r="C6" i="13"/>
  <c r="B6" i="13"/>
  <c r="C6" i="12"/>
  <c r="B6" i="12"/>
  <c r="C5" i="14"/>
  <c r="B5" i="14"/>
  <c r="C5" i="13"/>
  <c r="B5" i="13"/>
  <c r="C5" i="12"/>
  <c r="B5" i="12"/>
  <c r="B5" i="11"/>
  <c r="L46" i="1" l="1"/>
  <c r="O46" i="1" s="1"/>
  <c r="F56" i="1"/>
  <c r="N42" i="1"/>
  <c r="N40" i="1" s="1"/>
  <c r="L47" i="1"/>
  <c r="O47" i="1" s="1"/>
  <c r="L41" i="1"/>
  <c r="L44" i="1"/>
  <c r="L51" i="1"/>
  <c r="L49" i="1"/>
  <c r="O49" i="1" s="1"/>
  <c r="L48" i="1"/>
  <c r="O48" i="1" s="1"/>
  <c r="L43" i="1"/>
  <c r="O43" i="1" s="1"/>
  <c r="L45" i="1"/>
  <c r="L50" i="1"/>
  <c r="L52" i="1"/>
  <c r="B11" i="11"/>
  <c r="B12" i="11"/>
  <c r="H7" i="15"/>
  <c r="I7" i="15" s="1"/>
  <c r="H9" i="15"/>
  <c r="I9" i="15" s="1"/>
  <c r="B11" i="15"/>
  <c r="B15" i="15"/>
  <c r="B12" i="15"/>
  <c r="H6" i="15"/>
  <c r="B22" i="15"/>
  <c r="G7" i="9" s="1"/>
  <c r="H7" i="14"/>
  <c r="I7" i="14" s="1"/>
  <c r="H6" i="14"/>
  <c r="I6" i="14" s="1"/>
  <c r="B12" i="14"/>
  <c r="B15" i="14"/>
  <c r="B11" i="14"/>
  <c r="H5" i="14"/>
  <c r="B22" i="14"/>
  <c r="H6" i="13"/>
  <c r="I6" i="13" s="1"/>
  <c r="H7" i="13"/>
  <c r="I7" i="13" s="1"/>
  <c r="H9" i="13"/>
  <c r="I9" i="13" s="1"/>
  <c r="B15" i="13"/>
  <c r="B11" i="13"/>
  <c r="B12" i="13"/>
  <c r="H5" i="13"/>
  <c r="B22" i="13"/>
  <c r="E7" i="9" s="1"/>
  <c r="H6" i="12"/>
  <c r="I6" i="12" s="1"/>
  <c r="H7" i="11"/>
  <c r="I7" i="11" s="1"/>
  <c r="H8" i="12"/>
  <c r="I8" i="12" s="1"/>
  <c r="H9" i="11"/>
  <c r="I9" i="11" s="1"/>
  <c r="H9" i="12"/>
  <c r="I9" i="12" s="1"/>
  <c r="B12" i="12"/>
  <c r="H5" i="12"/>
  <c r="B22" i="12"/>
  <c r="D7" i="9" s="1"/>
  <c r="B15" i="12"/>
  <c r="B11" i="12"/>
  <c r="H5" i="11"/>
  <c r="B15" i="11"/>
  <c r="B22" i="11"/>
  <c r="C7" i="9" s="1"/>
  <c r="O52" i="1" l="1"/>
  <c r="O50" i="1"/>
  <c r="O45" i="1"/>
  <c r="O51" i="1"/>
  <c r="O44" i="1"/>
  <c r="G17" i="9"/>
  <c r="F7" i="9"/>
  <c r="F17" i="9" s="1"/>
  <c r="I6" i="15"/>
  <c r="B14" i="15" s="1"/>
  <c r="B18" i="15" s="1"/>
  <c r="B23" i="15" s="1"/>
  <c r="G8" i="9" s="1"/>
  <c r="B13" i="15"/>
  <c r="B13" i="11"/>
  <c r="B27" i="15"/>
  <c r="G16" i="9" s="1"/>
  <c r="B13" i="14"/>
  <c r="I5" i="14"/>
  <c r="B14" i="14" s="1"/>
  <c r="B18" i="14" s="1"/>
  <c r="B27" i="14"/>
  <c r="F16" i="9" s="1"/>
  <c r="E17" i="9"/>
  <c r="B13" i="13"/>
  <c r="I5" i="13"/>
  <c r="B14" i="13" s="1"/>
  <c r="B18" i="13" s="1"/>
  <c r="B27" i="13"/>
  <c r="E16" i="9" s="1"/>
  <c r="D17" i="9"/>
  <c r="B27" i="12"/>
  <c r="D16" i="9" s="1"/>
  <c r="I5" i="12"/>
  <c r="B14" i="12" s="1"/>
  <c r="B18" i="12" s="1"/>
  <c r="B13" i="12"/>
  <c r="C17" i="9"/>
  <c r="I5" i="11"/>
  <c r="B14" i="11" s="1"/>
  <c r="B18" i="11" s="1"/>
  <c r="B27" i="11"/>
  <c r="C16" i="9" s="1"/>
  <c r="B16" i="15" l="1"/>
  <c r="B16" i="14"/>
  <c r="B17" i="14" s="1"/>
  <c r="B19" i="14" s="1"/>
  <c r="B20" i="14" s="1"/>
  <c r="B25" i="14" s="1"/>
  <c r="F10" i="9" s="1"/>
  <c r="B23" i="14"/>
  <c r="F8" i="9" s="1"/>
  <c r="B16" i="13"/>
  <c r="B17" i="13" s="1"/>
  <c r="B19" i="13" s="1"/>
  <c r="B24" i="13" s="1"/>
  <c r="E9" i="9" s="1"/>
  <c r="B23" i="13"/>
  <c r="E8" i="9" s="1"/>
  <c r="B23" i="12"/>
  <c r="D8" i="9" s="1"/>
  <c r="B16" i="12"/>
  <c r="B17" i="12" s="1"/>
  <c r="B19" i="12" s="1"/>
  <c r="B23" i="11"/>
  <c r="C8" i="9" s="1"/>
  <c r="B16" i="11"/>
  <c r="B17" i="11" s="1"/>
  <c r="B19" i="11" s="1"/>
  <c r="B20" i="11" s="1"/>
  <c r="B25" i="11" s="1"/>
  <c r="C10" i="9" s="1"/>
  <c r="B17" i="15" l="1"/>
  <c r="B19" i="15" s="1"/>
  <c r="B24" i="14"/>
  <c r="F9" i="9" s="1"/>
  <c r="B29" i="14"/>
  <c r="F11" i="9" s="1"/>
  <c r="B20" i="13"/>
  <c r="B25" i="13" s="1"/>
  <c r="E10" i="9" s="1"/>
  <c r="B29" i="13"/>
  <c r="B29" i="12"/>
  <c r="D11" i="9" s="1"/>
  <c r="B24" i="12"/>
  <c r="D9" i="9" s="1"/>
  <c r="B20" i="12"/>
  <c r="B25" i="12" s="1"/>
  <c r="D10" i="9" s="1"/>
  <c r="B24" i="11"/>
  <c r="C9" i="9" s="1"/>
  <c r="B29" i="11"/>
  <c r="C11" i="9" s="1"/>
  <c r="B32" i="13" l="1"/>
  <c r="E13" i="9" s="1"/>
  <c r="E11" i="9"/>
  <c r="B24" i="15"/>
  <c r="G9" i="9" s="1"/>
  <c r="B20" i="15"/>
  <c r="B25" i="15" s="1"/>
  <c r="G10" i="9" s="1"/>
  <c r="B29" i="15"/>
  <c r="G11" i="9" s="1"/>
  <c r="B32" i="14"/>
  <c r="F13" i="9" s="1"/>
  <c r="B30" i="14"/>
  <c r="B31" i="14" s="1"/>
  <c r="F12" i="9" s="1"/>
  <c r="F28" i="9" s="1"/>
  <c r="F29" i="9" s="1"/>
  <c r="B30" i="13"/>
  <c r="B31" i="13" s="1"/>
  <c r="E12" i="9" s="1"/>
  <c r="B32" i="12"/>
  <c r="D13" i="9" s="1"/>
  <c r="B30" i="12"/>
  <c r="B31" i="12" s="1"/>
  <c r="D12" i="9" s="1"/>
  <c r="B30" i="11"/>
  <c r="B31" i="11" s="1"/>
  <c r="C12" i="9" s="1"/>
  <c r="B32" i="11"/>
  <c r="C13" i="9" s="1"/>
  <c r="B34" i="13" l="1"/>
  <c r="B35" i="13"/>
  <c r="B30" i="15"/>
  <c r="B31" i="15" s="1"/>
  <c r="G12" i="9" s="1"/>
  <c r="G28" i="9" s="1"/>
  <c r="G29" i="9" s="1"/>
  <c r="B32" i="15"/>
  <c r="G13" i="9" s="1"/>
  <c r="B34" i="14"/>
  <c r="B35" i="14"/>
  <c r="E28" i="9"/>
  <c r="E29" i="9" s="1"/>
  <c r="D28" i="9"/>
  <c r="D29" i="9" s="1"/>
  <c r="B34" i="12"/>
  <c r="B35" i="12"/>
  <c r="C28" i="9"/>
  <c r="C29" i="9" s="1"/>
  <c r="B34" i="11"/>
  <c r="B35" i="11"/>
  <c r="B36" i="13" l="1"/>
  <c r="B37" i="13" s="1"/>
  <c r="B40" i="13" s="1"/>
  <c r="E15" i="9" s="1"/>
  <c r="E19" i="9" s="1"/>
  <c r="B35" i="15"/>
  <c r="B34" i="15"/>
  <c r="B36" i="14"/>
  <c r="B37" i="14" s="1"/>
  <c r="B36" i="12"/>
  <c r="B37" i="12" s="1"/>
  <c r="B40" i="12" s="1"/>
  <c r="D15" i="9" s="1"/>
  <c r="B36" i="11"/>
  <c r="B37" i="11" s="1"/>
  <c r="B39" i="13" l="1"/>
  <c r="E14" i="9" s="1"/>
  <c r="E18" i="9" s="1"/>
  <c r="B36" i="15"/>
  <c r="B37" i="15" s="1"/>
  <c r="B39" i="15" s="1"/>
  <c r="G14" i="9" s="1"/>
  <c r="G18" i="9" s="1"/>
  <c r="B39" i="14"/>
  <c r="F14" i="9" s="1"/>
  <c r="F18" i="9" s="1"/>
  <c r="B40" i="14"/>
  <c r="F15" i="9" s="1"/>
  <c r="F19" i="9" s="1"/>
  <c r="B39" i="12"/>
  <c r="D14" i="9" s="1"/>
  <c r="D19" i="9"/>
  <c r="B40" i="11"/>
  <c r="C15" i="9" s="1"/>
  <c r="B39" i="11"/>
  <c r="C14" i="9" s="1"/>
  <c r="B40" i="15" l="1"/>
  <c r="G15" i="9" s="1"/>
  <c r="G19" i="9" s="1"/>
  <c r="D18" i="9"/>
  <c r="C18" i="9"/>
  <c r="C19" i="9"/>
  <c r="U9" i="1" l="1"/>
  <c r="U8" i="1"/>
  <c r="Q17" i="1" l="1"/>
  <c r="Z36" i="1" l="1"/>
  <c r="AA36" i="1" s="1"/>
  <c r="Z15" i="1" l="1"/>
  <c r="AA15" i="1" s="1"/>
  <c r="Z17" i="1"/>
  <c r="AA17" i="1" s="1"/>
  <c r="Z55" i="1"/>
  <c r="AA55" i="1" s="1"/>
  <c r="Z30" i="1"/>
  <c r="AA30" i="1" s="1"/>
  <c r="Z62" i="1"/>
  <c r="AA62" i="1" s="1"/>
  <c r="Z52" i="1"/>
  <c r="AA52" i="1" s="1"/>
  <c r="Z43" i="1"/>
  <c r="AA43" i="1" s="1"/>
  <c r="Z63" i="1"/>
  <c r="AA63" i="1" s="1"/>
  <c r="Z38" i="1"/>
  <c r="AA38" i="1" s="1"/>
  <c r="Z24" i="1"/>
  <c r="AA24" i="1" s="1"/>
  <c r="Z48" i="1"/>
  <c r="AA48" i="1" s="1"/>
  <c r="Z41" i="1"/>
  <c r="AA41" i="1" s="1"/>
  <c r="Z65" i="1"/>
  <c r="AA65" i="1" s="1"/>
  <c r="Z39" i="1"/>
  <c r="AA39" i="1" s="1"/>
  <c r="Z35" i="1"/>
  <c r="AA35" i="1" s="1"/>
  <c r="Z26" i="1"/>
  <c r="AA26" i="1" s="1"/>
  <c r="Z40" i="1"/>
  <c r="AA40" i="1" s="1"/>
  <c r="Z56" i="1"/>
  <c r="AA56" i="1" s="1"/>
  <c r="Z54" i="1"/>
  <c r="AA54" i="1" s="1"/>
  <c r="Z57" i="1"/>
  <c r="AA57" i="1" s="1"/>
  <c r="Z59" i="1"/>
  <c r="AA59" i="1" s="1"/>
  <c r="Z58" i="1"/>
  <c r="AA58" i="1" s="1"/>
  <c r="Z31" i="1"/>
  <c r="AA31" i="1" s="1"/>
  <c r="Z20" i="1"/>
  <c r="AA20" i="1" s="1"/>
  <c r="Z28" i="1"/>
  <c r="AA28" i="1" s="1"/>
  <c r="Z46" i="1"/>
  <c r="AA46" i="1" s="1"/>
  <c r="Z70" i="1"/>
  <c r="AA70" i="1" s="1"/>
  <c r="Z33" i="1"/>
  <c r="AA33" i="1" s="1"/>
  <c r="Z49" i="1"/>
  <c r="AA49" i="1" s="1"/>
  <c r="Z19" i="1"/>
  <c r="AA19" i="1" s="1"/>
  <c r="Z32" i="1"/>
  <c r="AA32" i="1" s="1"/>
  <c r="Z21" i="1"/>
  <c r="AA21" i="1" s="1"/>
  <c r="Z47" i="1"/>
  <c r="AA47" i="1" s="1"/>
  <c r="Z72" i="1"/>
  <c r="AA72" i="1" s="1"/>
  <c r="Z68" i="1"/>
  <c r="AA68" i="1" s="1"/>
  <c r="Z22" i="1"/>
  <c r="AA22" i="1" s="1"/>
  <c r="Z37" i="1"/>
  <c r="AA37" i="1" s="1"/>
  <c r="Z45" i="1"/>
  <c r="AA45" i="1" s="1"/>
  <c r="Z25" i="1"/>
  <c r="AA25" i="1" s="1"/>
  <c r="Z73" i="1"/>
  <c r="AA73" i="1" s="1"/>
  <c r="Z27" i="1"/>
  <c r="AA27" i="1" s="1"/>
  <c r="Z64" i="1"/>
  <c r="AA64" i="1" s="1"/>
  <c r="Z53" i="1"/>
  <c r="AA53" i="1" s="1"/>
  <c r="Z60" i="1"/>
  <c r="AA60" i="1" s="1"/>
  <c r="Z51" i="1"/>
  <c r="AA51" i="1" s="1"/>
  <c r="Z67" i="1"/>
  <c r="AA67" i="1" s="1"/>
  <c r="Z16" i="1"/>
  <c r="AA16" i="1" s="1"/>
  <c r="Z18" i="1"/>
  <c r="AA18" i="1" s="1"/>
  <c r="Z44" i="1"/>
  <c r="AA44" i="1" s="1"/>
  <c r="W8" i="1" s="1"/>
  <c r="W9" i="1" s="1"/>
  <c r="Z23" i="1"/>
  <c r="AA23" i="1" s="1"/>
  <c r="AA14" i="1"/>
  <c r="Z66" i="1"/>
  <c r="AA66" i="1" s="1"/>
  <c r="Z34" i="1"/>
  <c r="AA34" i="1" s="1"/>
  <c r="Z61" i="1"/>
  <c r="AA61" i="1" s="1"/>
  <c r="Z69" i="1"/>
  <c r="AA69" i="1" s="1"/>
  <c r="Z74" i="1"/>
  <c r="AA74" i="1" s="1"/>
  <c r="Z42" i="1"/>
  <c r="AA42" i="1" s="1"/>
  <c r="Z50" i="1"/>
  <c r="AA50" i="1" s="1"/>
  <c r="Z71" i="1"/>
  <c r="AA71" i="1" s="1"/>
  <c r="Z29" i="1"/>
  <c r="AA29" i="1" s="1"/>
</calcChain>
</file>

<file path=xl/sharedStrings.xml><?xml version="1.0" encoding="utf-8"?>
<sst xmlns="http://schemas.openxmlformats.org/spreadsheetml/2006/main" count="418" uniqueCount="134">
  <si>
    <t>Origine</t>
  </si>
  <si>
    <t>niveau</t>
  </si>
  <si>
    <t>SCE</t>
  </si>
  <si>
    <t>ddl</t>
  </si>
  <si>
    <t>CM</t>
  </si>
  <si>
    <t>Fobs</t>
  </si>
  <si>
    <t>F5%</t>
  </si>
  <si>
    <t>x</t>
  </si>
  <si>
    <t>résiduel</t>
  </si>
  <si>
    <t>SB²</t>
  </si>
  <si>
    <t>CI</t>
  </si>
  <si>
    <t>contrib%</t>
  </si>
  <si>
    <t>Total</t>
  </si>
  <si>
    <t>jour</t>
  </si>
  <si>
    <t>modèle</t>
  </si>
  <si>
    <t>Tolérance +</t>
  </si>
  <si>
    <t>Tolérance -</t>
  </si>
  <si>
    <t>moyenne</t>
  </si>
  <si>
    <t>Min</t>
  </si>
  <si>
    <t>Max</t>
  </si>
  <si>
    <t>Cpk</t>
  </si>
  <si>
    <t>Niveau A</t>
  </si>
  <si>
    <t>Répétition 1</t>
  </si>
  <si>
    <t>Répétition 2</t>
  </si>
  <si>
    <t>Répétition 3</t>
  </si>
  <si>
    <t>Répétition 4</t>
  </si>
  <si>
    <t>Répétition 5</t>
  </si>
  <si>
    <t>nk</t>
  </si>
  <si>
    <t>SCEk</t>
  </si>
  <si>
    <t>Niveau B</t>
  </si>
  <si>
    <t>Niveau C</t>
  </si>
  <si>
    <t>Niveau D</t>
  </si>
  <si>
    <t>Niveau E</t>
  </si>
  <si>
    <t>Profil d'exactitude</t>
  </si>
  <si>
    <t>Probabilité tolérance (bêta)</t>
  </si>
  <si>
    <t>Limite d'acceptabilité</t>
  </si>
  <si>
    <t>Niveaux</t>
  </si>
  <si>
    <t>Recouvrement (justesse)</t>
  </si>
  <si>
    <t>Limite basse tolérance (%)</t>
  </si>
  <si>
    <t>Limite haute tolérance (%)</t>
  </si>
  <si>
    <t>Limite d'acceptabilité basse</t>
  </si>
  <si>
    <t>Limite d'acceptabilité haute</t>
  </si>
  <si>
    <t>Incertitude</t>
  </si>
  <si>
    <t>Ecart-type de l'IT (sIT)</t>
  </si>
  <si>
    <t>Incertitude élargie relative</t>
  </si>
  <si>
    <t>Valeur cible</t>
  </si>
  <si>
    <t>Moyenne niveau</t>
  </si>
  <si>
    <t>Ecart-type de répétabilité (sr)</t>
  </si>
  <si>
    <t>Ecart-type inter-séries (sL)</t>
  </si>
  <si>
    <t>Ecart-type de fidélité (sFI)</t>
  </si>
  <si>
    <t>Rapport des variances (R)</t>
  </si>
  <si>
    <t>Coefficient intermédiaire</t>
  </si>
  <si>
    <t>Nombre de degrés liberté</t>
  </si>
  <si>
    <t>Valeur basse tolérance</t>
  </si>
  <si>
    <t>Valeur haute tolérance</t>
  </si>
  <si>
    <t>Biais (%)</t>
  </si>
  <si>
    <t>R²</t>
  </si>
  <si>
    <r>
      <t xml:space="preserve">équiv </t>
    </r>
    <r>
      <rPr>
        <sz val="11"/>
        <rFont val="Calibri"/>
        <family val="2"/>
      </rPr>
      <t>β</t>
    </r>
  </si>
  <si>
    <t>étape d'identification</t>
  </si>
  <si>
    <t>ANOVA</t>
  </si>
  <si>
    <t>R²ajusté</t>
  </si>
  <si>
    <t>Y</t>
  </si>
  <si>
    <t>opérateur</t>
  </si>
  <si>
    <t>&lt; expliqué par le modèle (ajusté)</t>
  </si>
  <si>
    <t>S² totale</t>
  </si>
  <si>
    <t>S totale</t>
  </si>
  <si>
    <t>version 1</t>
  </si>
  <si>
    <t>X</t>
  </si>
  <si>
    <t>lundi</t>
  </si>
  <si>
    <t>jeudi</t>
  </si>
  <si>
    <t>A</t>
  </si>
  <si>
    <t>B</t>
  </si>
  <si>
    <t>Morgan GERMA</t>
  </si>
  <si>
    <t>débit</t>
  </si>
  <si>
    <t>pression</t>
  </si>
  <si>
    <t>T°C</t>
  </si>
  <si>
    <t>colonne</t>
  </si>
  <si>
    <t>paramètre équipement</t>
  </si>
  <si>
    <t>gaz</t>
  </si>
  <si>
    <t>lg onde</t>
  </si>
  <si>
    <t>alcool</t>
  </si>
  <si>
    <t>Z</t>
  </si>
  <si>
    <t>mardi</t>
  </si>
  <si>
    <t>mercredi</t>
  </si>
  <si>
    <t>échantillon</t>
  </si>
  <si>
    <t>1ml</t>
  </si>
  <si>
    <t>2ml</t>
  </si>
  <si>
    <t>1mbar</t>
  </si>
  <si>
    <t>2mbar</t>
  </si>
  <si>
    <t>oui</t>
  </si>
  <si>
    <t>non</t>
  </si>
  <si>
    <t>&lt;Coefficient de détermination : ce qui est expliqué par le modèle</t>
  </si>
  <si>
    <t>&lt; Veuillez étudier de 4 à 7 paramètres avec de "petites" variations cohérentes</t>
  </si>
  <si>
    <t>susceptible de se produire en routine</t>
  </si>
  <si>
    <t>si Fobs &lt; F5% = équivalence</t>
  </si>
  <si>
    <t>pierre</t>
  </si>
  <si>
    <t>paul</t>
  </si>
  <si>
    <t>jack</t>
  </si>
  <si>
    <t>marie</t>
  </si>
  <si>
    <t>Analytique</t>
  </si>
  <si>
    <t>solvant</t>
  </si>
  <si>
    <t>niveau (% de la valeur cible)</t>
  </si>
  <si>
    <t>échantillon (4 éch)</t>
  </si>
  <si>
    <t>jour (4j)</t>
  </si>
  <si>
    <t>Production</t>
  </si>
  <si>
    <t>tps</t>
  </si>
  <si>
    <t>température</t>
  </si>
  <si>
    <t>lot</t>
  </si>
  <si>
    <t>lg d'onde</t>
  </si>
  <si>
    <r>
      <t xml:space="preserve">risque </t>
    </r>
    <r>
      <rPr>
        <sz val="11"/>
        <rFont val="Calibri"/>
        <family val="2"/>
      </rPr>
      <t>β</t>
    </r>
  </si>
  <si>
    <t>Jour (Série) 1</t>
  </si>
  <si>
    <t>Jour (Série) 2</t>
  </si>
  <si>
    <t>Jour (Série) 3</t>
  </si>
  <si>
    <t>Jour (Série) 4</t>
  </si>
  <si>
    <t>Jour (Série) 5</t>
  </si>
  <si>
    <t>Nombre de séries (K)</t>
  </si>
  <si>
    <t>Nombre de mesures (IK)</t>
  </si>
  <si>
    <t>Nombre de répétitions (I)</t>
  </si>
  <si>
    <t>SCE résiduelle</t>
  </si>
  <si>
    <t>SCE totale</t>
  </si>
  <si>
    <t>SCE inter-séries</t>
  </si>
  <si>
    <t>Valeur intermédiaire de s²L</t>
  </si>
  <si>
    <t>Variance de répétabilité (s²r)</t>
  </si>
  <si>
    <t>Variance inter-séries (s²L)</t>
  </si>
  <si>
    <t>Variance de fidélité (s²FI)</t>
  </si>
  <si>
    <t>Fidélité</t>
  </si>
  <si>
    <t>Justesse</t>
  </si>
  <si>
    <t>Facteur de couverture</t>
  </si>
  <si>
    <t>Coefficient B²</t>
  </si>
  <si>
    <t>t Student bas</t>
  </si>
  <si>
    <t>t Student haut</t>
  </si>
  <si>
    <t>t Student interpolé</t>
  </si>
  <si>
    <t>Facteur de couverture (ktol)</t>
  </si>
  <si>
    <t>Intervalle de tolérance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</si>
</sst>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000000"/>
    <numFmt numFmtId="168" formatCode="0.000000"/>
  </numFmts>
  <fonts count="2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name val="Verdana"/>
      <family val="2"/>
    </font>
    <font>
      <sz val="9"/>
      <name val="Arial"/>
      <family val="2"/>
    </font>
    <font>
      <sz val="8"/>
      <color indexed="20"/>
      <name val="Verdana"/>
      <family val="2"/>
    </font>
    <font>
      <sz val="8"/>
      <name val="Tahoma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sz val="9"/>
      <color theme="0" tint="-0.249977111117893"/>
      <name val="Arial"/>
      <family val="2"/>
    </font>
    <font>
      <sz val="9"/>
      <color indexed="23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0"/>
      <color theme="4"/>
      <name val="Arial"/>
      <family val="2"/>
    </font>
    <font>
      <b/>
      <sz val="10"/>
      <color theme="6"/>
      <name val="Arial"/>
      <family val="2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0"/>
      <color theme="0" tint="-0.34998626667073579"/>
      <name val="Arial"/>
      <family val="2"/>
    </font>
    <font>
      <u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4" fillId="0" borderId="0"/>
    <xf numFmtId="0" fontId="4" fillId="0" borderId="0"/>
    <xf numFmtId="0" fontId="8" fillId="6" borderId="0"/>
    <xf numFmtId="0" fontId="10" fillId="7" borderId="0"/>
    <xf numFmtId="0" fontId="10" fillId="0" borderId="0">
      <alignment horizontal="right"/>
      <protection locked="0"/>
    </xf>
    <xf numFmtId="0" fontId="11" fillId="7" borderId="0"/>
    <xf numFmtId="9" fontId="12" fillId="7" borderId="0" applyFont="0" applyBorder="0" applyAlignment="0"/>
    <xf numFmtId="0" fontId="20" fillId="0" borderId="0" applyNumberFormat="0" applyFill="0" applyBorder="0" applyAlignment="0" applyProtection="0"/>
  </cellStyleXfs>
  <cellXfs count="208">
    <xf numFmtId="0" fontId="0" fillId="0" borderId="0" xfId="0"/>
    <xf numFmtId="0" fontId="9" fillId="6" borderId="0" xfId="3" applyFont="1"/>
    <xf numFmtId="0" fontId="10" fillId="7" borderId="0" xfId="4"/>
    <xf numFmtId="0" fontId="8" fillId="6" borderId="0" xfId="3"/>
    <xf numFmtId="0" fontId="10" fillId="0" borderId="2" xfId="5" applyBorder="1">
      <alignment horizontal="right"/>
      <protection locked="0"/>
    </xf>
    <xf numFmtId="1" fontId="10" fillId="7" borderId="0" xfId="4" applyNumberFormat="1"/>
    <xf numFmtId="166" fontId="10" fillId="7" borderId="0" xfId="4" applyNumberFormat="1"/>
    <xf numFmtId="0" fontId="11" fillId="7" borderId="0" xfId="6"/>
    <xf numFmtId="167" fontId="10" fillId="7" borderId="0" xfId="4" applyNumberFormat="1"/>
    <xf numFmtId="10" fontId="0" fillId="7" borderId="0" xfId="7" applyNumberFormat="1" applyFont="1"/>
    <xf numFmtId="0" fontId="8" fillId="6" borderId="0" xfId="3" applyFont="1"/>
    <xf numFmtId="164" fontId="10" fillId="0" borderId="2" xfId="5" applyNumberFormat="1" applyBorder="1">
      <alignment horizontal="right"/>
      <protection locked="0"/>
    </xf>
    <xf numFmtId="168" fontId="10" fillId="7" borderId="0" xfId="4" applyNumberFormat="1"/>
    <xf numFmtId="0" fontId="13" fillId="6" borderId="0" xfId="3" applyFont="1"/>
    <xf numFmtId="0" fontId="10" fillId="7" borderId="0" xfId="4" applyFont="1"/>
    <xf numFmtId="9" fontId="10" fillId="0" borderId="2" xfId="5" applyNumberFormat="1" applyFont="1" applyBorder="1">
      <alignment horizontal="right"/>
      <protection locked="0"/>
    </xf>
    <xf numFmtId="10" fontId="0" fillId="0" borderId="2" xfId="5" applyNumberFormat="1" applyFont="1" applyBorder="1">
      <alignment horizontal="right"/>
      <protection locked="0"/>
    </xf>
    <xf numFmtId="0" fontId="10" fillId="7" borderId="1" xfId="4" applyFont="1" applyBorder="1"/>
    <xf numFmtId="0" fontId="14" fillId="7" borderId="0" xfId="4" applyFont="1"/>
    <xf numFmtId="0" fontId="14" fillId="7" borderId="1" xfId="4" applyFont="1" applyBorder="1"/>
    <xf numFmtId="164" fontId="10" fillId="7" borderId="1" xfId="4" applyNumberFormat="1" applyFont="1" applyBorder="1"/>
    <xf numFmtId="0" fontId="15" fillId="7" borderId="0" xfId="4" applyFont="1"/>
    <xf numFmtId="10" fontId="10" fillId="7" borderId="1" xfId="7" applyNumberFormat="1" applyFont="1" applyBorder="1"/>
    <xf numFmtId="10" fontId="14" fillId="7" borderId="1" xfId="7" applyNumberFormat="1" applyFont="1" applyBorder="1"/>
    <xf numFmtId="10" fontId="14" fillId="7" borderId="1" xfId="4" applyNumberFormat="1" applyFont="1" applyBorder="1"/>
    <xf numFmtId="0" fontId="14" fillId="7" borderId="0" xfId="4" applyFont="1" applyBorder="1"/>
    <xf numFmtId="10" fontId="14" fillId="7" borderId="0" xfId="4" applyNumberFormat="1" applyFont="1" applyBorder="1"/>
    <xf numFmtId="165" fontId="10" fillId="7" borderId="0" xfId="4" applyNumberFormat="1" applyFont="1"/>
    <xf numFmtId="10" fontId="10" fillId="7" borderId="0" xfId="7" applyNumberFormat="1" applyFont="1"/>
    <xf numFmtId="0" fontId="16" fillId="7" borderId="0" xfId="4" applyFont="1"/>
    <xf numFmtId="165" fontId="16" fillId="7" borderId="0" xfId="4" applyNumberFormat="1" applyFont="1"/>
    <xf numFmtId="10" fontId="16" fillId="7" borderId="0" xfId="7" applyNumberFormat="1" applyFont="1"/>
    <xf numFmtId="0" fontId="14" fillId="0" borderId="1" xfId="0" applyFont="1" applyBorder="1"/>
    <xf numFmtId="0" fontId="10" fillId="0" borderId="1" xfId="0" applyFont="1" applyBorder="1"/>
    <xf numFmtId="1" fontId="14" fillId="7" borderId="1" xfId="4" applyNumberFormat="1" applyFont="1" applyBorder="1"/>
    <xf numFmtId="165" fontId="10" fillId="0" borderId="1" xfId="5" applyNumberFormat="1" applyBorder="1" applyAlignment="1">
      <alignment horizontal="center"/>
      <protection locked="0"/>
    </xf>
    <xf numFmtId="164" fontId="10" fillId="0" borderId="1" xfId="5" applyNumberFormat="1" applyBorder="1" applyAlignment="1">
      <alignment horizontal="center"/>
      <protection locked="0"/>
    </xf>
    <xf numFmtId="0" fontId="10" fillId="0" borderId="1" xfId="5" applyBorder="1" applyAlignment="1">
      <alignment horizontal="center"/>
      <protection locked="0"/>
    </xf>
    <xf numFmtId="0" fontId="0" fillId="0" borderId="0" xfId="0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" xfId="0" applyFill="1" applyBorder="1" applyAlignment="1" applyProtection="1">
      <alignment horizontal="center"/>
      <protection hidden="1"/>
    </xf>
    <xf numFmtId="2" fontId="6" fillId="4" borderId="0" xfId="0" applyNumberFormat="1" applyFont="1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6" fillId="0" borderId="7" xfId="0" applyFont="1" applyBorder="1" applyProtection="1">
      <protection hidden="1"/>
    </xf>
    <xf numFmtId="0" fontId="6" fillId="0" borderId="0" xfId="0" applyFont="1" applyProtection="1">
      <protection hidden="1"/>
    </xf>
    <xf numFmtId="11" fontId="6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0" fontId="5" fillId="2" borderId="1" xfId="0" applyFont="1" applyFill="1" applyBorder="1" applyAlignment="1" applyProtection="1">
      <alignment horizontal="center"/>
      <protection hidden="1"/>
    </xf>
    <xf numFmtId="0" fontId="5" fillId="0" borderId="0" xfId="0" applyFont="1" applyBorder="1" applyProtection="1">
      <protection hidden="1"/>
    </xf>
    <xf numFmtId="0" fontId="5" fillId="0" borderId="7" xfId="0" applyFont="1" applyBorder="1" applyProtection="1">
      <protection hidden="1"/>
    </xf>
    <xf numFmtId="0" fontId="7" fillId="4" borderId="0" xfId="2" applyFont="1" applyFill="1" applyBorder="1" applyProtection="1"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0" fontId="6" fillId="4" borderId="0" xfId="0" applyFont="1" applyFill="1" applyBorder="1" applyProtection="1">
      <protection hidden="1"/>
    </xf>
    <xf numFmtId="0" fontId="6" fillId="0" borderId="0" xfId="0" applyFont="1" applyBorder="1" applyProtection="1">
      <protection hidden="1"/>
    </xf>
    <xf numFmtId="0" fontId="0" fillId="2" borderId="0" xfId="0" applyFill="1" applyBorder="1" applyProtection="1">
      <protection hidden="1"/>
    </xf>
    <xf numFmtId="0" fontId="7" fillId="4" borderId="0" xfId="2" applyFont="1" applyFill="1" applyBorder="1" applyAlignment="1" applyProtection="1">
      <alignment horizontal="center"/>
      <protection hidden="1"/>
    </xf>
    <xf numFmtId="2" fontId="7" fillId="4" borderId="0" xfId="2" applyNumberFormat="1" applyFont="1" applyFill="1" applyBorder="1" applyAlignment="1" applyProtection="1">
      <alignment horizontal="center"/>
      <protection hidden="1"/>
    </xf>
    <xf numFmtId="11" fontId="7" fillId="4" borderId="0" xfId="2" applyNumberFormat="1" applyFont="1" applyFill="1" applyBorder="1" applyAlignment="1" applyProtection="1">
      <alignment horizontal="center"/>
      <protection hidden="1"/>
    </xf>
    <xf numFmtId="2" fontId="5" fillId="0" borderId="1" xfId="0" applyNumberFormat="1" applyFont="1" applyBorder="1" applyAlignment="1" applyProtection="1">
      <alignment horizontal="center"/>
      <protection hidden="1"/>
    </xf>
    <xf numFmtId="0" fontId="0" fillId="9" borderId="6" xfId="0" applyFill="1" applyBorder="1" applyProtection="1">
      <protection hidden="1"/>
    </xf>
    <xf numFmtId="0" fontId="0" fillId="9" borderId="0" xfId="0" applyFill="1" applyBorder="1" applyProtection="1">
      <protection hidden="1"/>
    </xf>
    <xf numFmtId="2" fontId="6" fillId="9" borderId="0" xfId="0" applyNumberFormat="1" applyFont="1" applyFill="1" applyBorder="1" applyAlignment="1" applyProtection="1">
      <alignment horizontal="center"/>
      <protection hidden="1"/>
    </xf>
    <xf numFmtId="0" fontId="0" fillId="9" borderId="7" xfId="0" applyFill="1" applyBorder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5" fillId="4" borderId="1" xfId="0" applyFont="1" applyFill="1" applyBorder="1" applyAlignment="1" applyProtection="1">
      <alignment horizontal="center"/>
      <protection hidden="1"/>
    </xf>
    <xf numFmtId="10" fontId="5" fillId="4" borderId="1" xfId="0" applyNumberFormat="1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2" fontId="5" fillId="3" borderId="1" xfId="0" applyNumberFormat="1" applyFont="1" applyFill="1" applyBorder="1" applyAlignment="1" applyProtection="1">
      <alignment horizontal="center"/>
      <protection hidden="1"/>
    </xf>
    <xf numFmtId="2" fontId="5" fillId="3" borderId="1" xfId="0" applyNumberFormat="1" applyFont="1" applyFill="1" applyBorder="1" applyAlignment="1" applyProtection="1">
      <alignment horizontal="center" vertical="center"/>
      <protection hidden="1"/>
    </xf>
    <xf numFmtId="9" fontId="5" fillId="3" borderId="1" xfId="0" applyNumberFormat="1" applyFont="1" applyFill="1" applyBorder="1" applyAlignment="1" applyProtection="1">
      <alignment horizontal="center"/>
      <protection hidden="1"/>
    </xf>
    <xf numFmtId="1" fontId="5" fillId="3" borderId="1" xfId="0" applyNumberFormat="1" applyFont="1" applyFill="1" applyBorder="1" applyAlignment="1" applyProtection="1">
      <alignment horizontal="center"/>
      <protection hidden="1"/>
    </xf>
    <xf numFmtId="0" fontId="5" fillId="5" borderId="1" xfId="0" applyFont="1" applyFill="1" applyBorder="1" applyAlignment="1" applyProtection="1">
      <alignment horizontal="center"/>
      <protection hidden="1"/>
    </xf>
    <xf numFmtId="2" fontId="5" fillId="5" borderId="1" xfId="0" applyNumberFormat="1" applyFont="1" applyFill="1" applyBorder="1" applyAlignment="1" applyProtection="1">
      <alignment horizontal="center"/>
      <protection hidden="1"/>
    </xf>
    <xf numFmtId="9" fontId="5" fillId="5" borderId="1" xfId="0" applyNumberFormat="1" applyFont="1" applyFill="1" applyBorder="1" applyAlignment="1" applyProtection="1">
      <alignment horizontal="center"/>
      <protection hidden="1"/>
    </xf>
    <xf numFmtId="9" fontId="5" fillId="0" borderId="1" xfId="0" applyNumberFormat="1" applyFont="1" applyBorder="1" applyAlignment="1" applyProtection="1">
      <alignment horizontal="center"/>
      <protection hidden="1"/>
    </xf>
    <xf numFmtId="0" fontId="0" fillId="0" borderId="0" xfId="0" applyFont="1" applyProtection="1">
      <protection hidden="1"/>
    </xf>
    <xf numFmtId="0" fontId="0" fillId="5" borderId="0" xfId="0" applyFill="1" applyBorder="1" applyProtection="1">
      <protection hidden="1"/>
    </xf>
    <xf numFmtId="0" fontId="0" fillId="8" borderId="0" xfId="0" applyFill="1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2" fontId="17" fillId="3" borderId="1" xfId="1" applyNumberFormat="1" applyFont="1" applyFill="1" applyBorder="1" applyAlignment="1" applyProtection="1">
      <alignment horizontal="center"/>
      <protection hidden="1"/>
    </xf>
    <xf numFmtId="2" fontId="18" fillId="5" borderId="1" xfId="1" applyNumberFormat="1" applyFont="1" applyFill="1" applyBorder="1" applyAlignment="1" applyProtection="1">
      <alignment horizontal="center"/>
      <protection hidden="1"/>
    </xf>
    <xf numFmtId="0" fontId="0" fillId="0" borderId="13" xfId="0" applyFill="1" applyBorder="1" applyAlignment="1" applyProtection="1">
      <alignment horizontal="center"/>
      <protection hidden="1"/>
    </xf>
    <xf numFmtId="0" fontId="0" fillId="2" borderId="13" xfId="0" applyFill="1" applyBorder="1" applyProtection="1">
      <protection hidden="1"/>
    </xf>
    <xf numFmtId="17" fontId="5" fillId="0" borderId="0" xfId="0" applyNumberFormat="1" applyFont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4" borderId="4" xfId="0" applyFill="1" applyBorder="1" applyProtection="1">
      <protection hidden="1"/>
    </xf>
    <xf numFmtId="0" fontId="0" fillId="4" borderId="0" xfId="0" applyFill="1" applyBorder="1" applyProtection="1">
      <protection hidden="1"/>
    </xf>
    <xf numFmtId="0" fontId="0" fillId="4" borderId="1" xfId="0" applyFill="1" applyBorder="1" applyAlignment="1" applyProtection="1">
      <alignment horizontal="center"/>
      <protection hidden="1"/>
    </xf>
    <xf numFmtId="0" fontId="0" fillId="4" borderId="0" xfId="0" applyFill="1" applyBorder="1" applyAlignment="1" applyProtection="1">
      <alignment horizontal="center"/>
      <protection hidden="1"/>
    </xf>
    <xf numFmtId="0" fontId="19" fillId="4" borderId="0" xfId="0" applyFont="1" applyFill="1" applyBorder="1" applyProtection="1">
      <protection hidden="1"/>
    </xf>
    <xf numFmtId="0" fontId="0" fillId="4" borderId="0" xfId="0" applyFill="1" applyBorder="1" applyAlignment="1" applyProtection="1">
      <protection hidden="1"/>
    </xf>
    <xf numFmtId="0" fontId="0" fillId="3" borderId="0" xfId="0" applyFill="1" applyProtection="1">
      <protection hidden="1"/>
    </xf>
    <xf numFmtId="0" fontId="17" fillId="2" borderId="0" xfId="0" applyFont="1" applyFill="1" applyBorder="1" applyProtection="1">
      <protection hidden="1"/>
    </xf>
    <xf numFmtId="0" fontId="3" fillId="2" borderId="0" xfId="0" applyFont="1" applyFill="1" applyBorder="1" applyProtection="1">
      <protection hidden="1"/>
    </xf>
    <xf numFmtId="0" fontId="26" fillId="2" borderId="0" xfId="0" applyFont="1" applyFill="1" applyBorder="1" applyProtection="1">
      <protection hidden="1"/>
    </xf>
    <xf numFmtId="0" fontId="22" fillId="2" borderId="0" xfId="0" applyFont="1" applyFill="1" applyBorder="1" applyProtection="1">
      <protection hidden="1"/>
    </xf>
    <xf numFmtId="0" fontId="0" fillId="2" borderId="16" xfId="0" applyFill="1" applyBorder="1" applyProtection="1">
      <protection hidden="1"/>
    </xf>
    <xf numFmtId="0" fontId="0" fillId="11" borderId="0" xfId="0" applyFill="1" applyBorder="1" applyProtection="1">
      <protection hidden="1"/>
    </xf>
    <xf numFmtId="0" fontId="0" fillId="0" borderId="16" xfId="0" applyFill="1" applyBorder="1" applyAlignment="1" applyProtection="1">
      <alignment horizontal="center"/>
      <protection hidden="1"/>
    </xf>
    <xf numFmtId="2" fontId="6" fillId="0" borderId="0" xfId="0" applyNumberFormat="1" applyFont="1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center"/>
      <protection hidden="1"/>
    </xf>
    <xf numFmtId="0" fontId="5" fillId="0" borderId="9" xfId="0" applyFont="1" applyBorder="1" applyProtection="1">
      <protection hidden="1"/>
    </xf>
    <xf numFmtId="0" fontId="0" fillId="0" borderId="0" xfId="0" applyFill="1" applyBorder="1" applyProtection="1">
      <protection hidden="1"/>
    </xf>
    <xf numFmtId="0" fontId="20" fillId="0" borderId="0" xfId="8" applyBorder="1" applyProtection="1"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5" fillId="10" borderId="1" xfId="0" applyFont="1" applyFill="1" applyBorder="1" applyAlignment="1" applyProtection="1">
      <alignment horizontal="center"/>
      <protection hidden="1"/>
    </xf>
    <xf numFmtId="0" fontId="5" fillId="4" borderId="14" xfId="0" applyFont="1" applyFill="1" applyBorder="1" applyAlignment="1" applyProtection="1">
      <alignment horizontal="center"/>
      <protection hidden="1"/>
    </xf>
    <xf numFmtId="0" fontId="0" fillId="9" borderId="1" xfId="0" applyFill="1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2" fontId="17" fillId="11" borderId="1" xfId="1" applyNumberFormat="1" applyFont="1" applyFill="1" applyBorder="1" applyAlignment="1" applyProtection="1">
      <alignment horizontal="center"/>
      <protection hidden="1"/>
    </xf>
    <xf numFmtId="2" fontId="8" fillId="3" borderId="1" xfId="1" applyNumberFormat="1" applyFont="1" applyFill="1" applyBorder="1" applyAlignment="1" applyProtection="1">
      <alignment horizontal="center"/>
      <protection hidden="1"/>
    </xf>
    <xf numFmtId="2" fontId="21" fillId="12" borderId="1" xfId="1" applyNumberFormat="1" applyFont="1" applyFill="1" applyBorder="1" applyAlignment="1" applyProtection="1">
      <alignment horizontal="center"/>
      <protection hidden="1"/>
    </xf>
    <xf numFmtId="2" fontId="22" fillId="5" borderId="1" xfId="1" applyNumberFormat="1" applyFont="1" applyFill="1" applyBorder="1" applyAlignment="1" applyProtection="1">
      <alignment horizontal="center"/>
      <protection hidden="1"/>
    </xf>
    <xf numFmtId="2" fontId="3" fillId="5" borderId="1" xfId="1" applyNumberFormat="1" applyFont="1" applyFill="1" applyBorder="1" applyAlignment="1" applyProtection="1">
      <alignment horizontal="center"/>
      <protection hidden="1"/>
    </xf>
    <xf numFmtId="2" fontId="17" fillId="12" borderId="1" xfId="1" applyNumberFormat="1" applyFont="1" applyFill="1" applyBorder="1" applyAlignment="1" applyProtection="1">
      <alignment horizontal="center"/>
      <protection hidden="1"/>
    </xf>
    <xf numFmtId="2" fontId="23" fillId="3" borderId="1" xfId="1" applyNumberFormat="1" applyFont="1" applyFill="1" applyBorder="1" applyAlignment="1" applyProtection="1">
      <alignment horizontal="center"/>
      <protection hidden="1"/>
    </xf>
    <xf numFmtId="2" fontId="24" fillId="11" borderId="1" xfId="1" applyNumberFormat="1" applyFont="1" applyFill="1" applyBorder="1" applyAlignment="1" applyProtection="1">
      <alignment horizontal="center"/>
      <protection hidden="1"/>
    </xf>
    <xf numFmtId="0" fontId="0" fillId="9" borderId="11" xfId="0" applyFill="1" applyBorder="1" applyAlignment="1" applyProtection="1">
      <alignment horizontal="center"/>
      <protection hidden="1"/>
    </xf>
    <xf numFmtId="2" fontId="21" fillId="3" borderId="1" xfId="1" applyNumberFormat="1" applyFont="1" applyFill="1" applyBorder="1" applyAlignment="1" applyProtection="1">
      <alignment horizontal="center"/>
      <protection hidden="1"/>
    </xf>
    <xf numFmtId="2" fontId="22" fillId="11" borderId="1" xfId="1" applyNumberFormat="1" applyFont="1" applyFill="1" applyBorder="1" applyAlignment="1" applyProtection="1">
      <alignment horizontal="center"/>
      <protection hidden="1"/>
    </xf>
    <xf numFmtId="2" fontId="8" fillId="12" borderId="1" xfId="1" applyNumberFormat="1" applyFont="1" applyFill="1" applyBorder="1" applyAlignment="1" applyProtection="1">
      <alignment horizontal="center"/>
      <protection hidden="1"/>
    </xf>
    <xf numFmtId="2" fontId="23" fillId="12" borderId="1" xfId="1" applyNumberFormat="1" applyFont="1" applyFill="1" applyBorder="1" applyAlignment="1" applyProtection="1">
      <alignment horizontal="center"/>
      <protection hidden="1"/>
    </xf>
    <xf numFmtId="2" fontId="21" fillId="5" borderId="1" xfId="1" applyNumberFormat="1" applyFont="1" applyFill="1" applyBorder="1" applyAlignment="1" applyProtection="1">
      <alignment horizontal="center"/>
      <protection hidden="1"/>
    </xf>
    <xf numFmtId="2" fontId="25" fillId="11" borderId="1" xfId="1" applyNumberFormat="1" applyFont="1" applyFill="1" applyBorder="1" applyAlignment="1" applyProtection="1">
      <alignment horizontal="center"/>
      <protection hidden="1"/>
    </xf>
    <xf numFmtId="2" fontId="26" fillId="11" borderId="1" xfId="1" applyNumberFormat="1" applyFont="1" applyFill="1" applyBorder="1" applyAlignment="1" applyProtection="1">
      <alignment horizontal="center"/>
      <protection hidden="1"/>
    </xf>
    <xf numFmtId="2" fontId="25" fillId="5" borderId="1" xfId="1" applyNumberFormat="1" applyFont="1" applyFill="1" applyBorder="1" applyAlignment="1" applyProtection="1">
      <alignment horizontal="center"/>
      <protection hidden="1"/>
    </xf>
    <xf numFmtId="2" fontId="26" fillId="12" borderId="1" xfId="1" applyNumberFormat="1" applyFont="1" applyFill="1" applyBorder="1" applyAlignment="1" applyProtection="1">
      <alignment horizontal="center"/>
      <protection hidden="1"/>
    </xf>
    <xf numFmtId="2" fontId="18" fillId="11" borderId="1" xfId="1" applyNumberFormat="1" applyFont="1" applyFill="1" applyBorder="1" applyAlignment="1" applyProtection="1">
      <alignment horizontal="center"/>
      <protection hidden="1"/>
    </xf>
    <xf numFmtId="2" fontId="27" fillId="5" borderId="1" xfId="1" applyNumberFormat="1" applyFont="1" applyFill="1" applyBorder="1" applyAlignment="1" applyProtection="1">
      <alignment horizontal="center"/>
      <protection hidden="1"/>
    </xf>
    <xf numFmtId="2" fontId="17" fillId="5" borderId="1" xfId="1" applyNumberFormat="1" applyFont="1" applyFill="1" applyBorder="1" applyAlignment="1" applyProtection="1">
      <alignment horizontal="center"/>
      <protection hidden="1"/>
    </xf>
    <xf numFmtId="2" fontId="26" fillId="3" borderId="1" xfId="1" applyNumberFormat="1" applyFont="1" applyFill="1" applyBorder="1" applyAlignment="1" applyProtection="1">
      <alignment horizontal="center"/>
      <protection hidden="1"/>
    </xf>
    <xf numFmtId="11" fontId="5" fillId="3" borderId="1" xfId="0" applyNumberFormat="1" applyFont="1" applyFill="1" applyBorder="1" applyAlignment="1" applyProtection="1">
      <alignment horizontal="center"/>
      <protection hidden="1"/>
    </xf>
    <xf numFmtId="11" fontId="5" fillId="3" borderId="1" xfId="0" applyNumberFormat="1" applyFont="1" applyFill="1" applyBorder="1" applyAlignment="1" applyProtection="1">
      <alignment horizontal="center" vertical="center"/>
      <protection hidden="1"/>
    </xf>
    <xf numFmtId="11" fontId="5" fillId="5" borderId="1" xfId="0" applyNumberFormat="1" applyFont="1" applyFill="1" applyBorder="1" applyAlignment="1" applyProtection="1">
      <alignment horizontal="center"/>
      <protection hidden="1"/>
    </xf>
    <xf numFmtId="11" fontId="5" fillId="5" borderId="1" xfId="0" applyNumberFormat="1" applyFont="1" applyFill="1" applyBorder="1" applyAlignment="1" applyProtection="1">
      <alignment horizontal="center" vertical="center"/>
      <protection hidden="1"/>
    </xf>
    <xf numFmtId="11" fontId="5" fillId="2" borderId="1" xfId="0" applyNumberFormat="1" applyFont="1" applyFill="1" applyBorder="1" applyAlignment="1" applyProtection="1">
      <alignment horizontal="center"/>
      <protection hidden="1"/>
    </xf>
    <xf numFmtId="2" fontId="5" fillId="2" borderId="1" xfId="0" applyNumberFormat="1" applyFont="1" applyFill="1" applyBorder="1" applyAlignment="1" applyProtection="1">
      <alignment horizontal="center"/>
      <protection hidden="1"/>
    </xf>
    <xf numFmtId="9" fontId="5" fillId="2" borderId="1" xfId="0" applyNumberFormat="1" applyFont="1" applyFill="1" applyBorder="1" applyAlignment="1" applyProtection="1">
      <alignment horizontal="center"/>
      <protection hidden="1"/>
    </xf>
    <xf numFmtId="0" fontId="5" fillId="8" borderId="1" xfId="0" applyFont="1" applyFill="1" applyBorder="1" applyAlignment="1" applyProtection="1">
      <alignment horizontal="center"/>
      <protection hidden="1"/>
    </xf>
    <xf numFmtId="0" fontId="2" fillId="0" borderId="0" xfId="0" applyFont="1" applyBorder="1" applyProtection="1">
      <protection hidden="1"/>
    </xf>
    <xf numFmtId="0" fontId="2" fillId="0" borderId="7" xfId="0" applyFont="1" applyBorder="1" applyProtection="1">
      <protection hidden="1"/>
    </xf>
    <xf numFmtId="10" fontId="5" fillId="5" borderId="1" xfId="0" applyNumberFormat="1" applyFont="1" applyFill="1" applyBorder="1" applyAlignment="1" applyProtection="1">
      <alignment horizontal="center"/>
      <protection hidden="1"/>
    </xf>
    <xf numFmtId="10" fontId="5" fillId="2" borderId="1" xfId="0" applyNumberFormat="1" applyFont="1" applyFill="1" applyBorder="1" applyAlignment="1" applyProtection="1">
      <alignment horizontal="center"/>
      <protection hidden="1"/>
    </xf>
    <xf numFmtId="9" fontId="0" fillId="2" borderId="11" xfId="0" applyNumberFormat="1" applyFill="1" applyBorder="1" applyAlignment="1" applyProtection="1">
      <alignment horizontal="center"/>
      <protection hidden="1"/>
    </xf>
    <xf numFmtId="9" fontId="0" fillId="2" borderId="1" xfId="0" applyNumberFormat="1" applyFill="1" applyBorder="1" applyAlignment="1" applyProtection="1">
      <alignment horizontal="center"/>
      <protection hidden="1"/>
    </xf>
    <xf numFmtId="0" fontId="28" fillId="0" borderId="0" xfId="8" applyFont="1" applyBorder="1" applyProtection="1">
      <protection hidden="1"/>
    </xf>
    <xf numFmtId="0" fontId="7" fillId="4" borderId="0" xfId="2" applyFont="1" applyFill="1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13" borderId="13" xfId="0" applyFill="1" applyBorder="1" applyAlignment="1" applyProtection="1">
      <alignment horizontal="center"/>
      <protection hidden="1"/>
    </xf>
    <xf numFmtId="0" fontId="0" fillId="13" borderId="13" xfId="0" applyFill="1" applyBorder="1" applyProtection="1">
      <protection hidden="1"/>
    </xf>
    <xf numFmtId="0" fontId="0" fillId="4" borderId="16" xfId="0" applyFill="1" applyBorder="1" applyProtection="1">
      <protection hidden="1"/>
    </xf>
    <xf numFmtId="10" fontId="17" fillId="11" borderId="1" xfId="1" applyNumberFormat="1" applyFont="1" applyFill="1" applyBorder="1" applyAlignment="1" applyProtection="1">
      <alignment horizontal="center"/>
      <protection hidden="1"/>
    </xf>
    <xf numFmtId="10" fontId="22" fillId="5" borderId="1" xfId="1" applyNumberFormat="1" applyFont="1" applyFill="1" applyBorder="1" applyAlignment="1" applyProtection="1">
      <alignment horizontal="center"/>
      <protection hidden="1"/>
    </xf>
    <xf numFmtId="10" fontId="3" fillId="5" borderId="1" xfId="1" applyNumberFormat="1" applyFont="1" applyFill="1" applyBorder="1" applyAlignment="1" applyProtection="1">
      <alignment horizontal="center"/>
      <protection hidden="1"/>
    </xf>
    <xf numFmtId="10" fontId="21" fillId="3" borderId="1" xfId="1" applyNumberFormat="1" applyFont="1" applyFill="1" applyBorder="1" applyAlignment="1" applyProtection="1">
      <alignment horizontal="center"/>
      <protection hidden="1"/>
    </xf>
    <xf numFmtId="10" fontId="8" fillId="12" borderId="1" xfId="1" applyNumberFormat="1" applyFont="1" applyFill="1" applyBorder="1" applyAlignment="1" applyProtection="1">
      <alignment horizontal="center"/>
      <protection hidden="1"/>
    </xf>
    <xf numFmtId="10" fontId="23" fillId="12" borderId="1" xfId="1" applyNumberFormat="1" applyFont="1" applyFill="1" applyBorder="1" applyAlignment="1" applyProtection="1">
      <alignment horizontal="center"/>
      <protection hidden="1"/>
    </xf>
    <xf numFmtId="10" fontId="17" fillId="3" borderId="1" xfId="1" applyNumberFormat="1" applyFont="1" applyFill="1" applyBorder="1" applyAlignment="1" applyProtection="1">
      <alignment horizontal="center"/>
      <protection hidden="1"/>
    </xf>
    <xf numFmtId="10" fontId="26" fillId="11" borderId="1" xfId="1" applyNumberFormat="1" applyFont="1" applyFill="1" applyBorder="1" applyAlignment="1" applyProtection="1">
      <alignment horizontal="center"/>
      <protection hidden="1"/>
    </xf>
    <xf numFmtId="10" fontId="8" fillId="3" borderId="11" xfId="1" applyNumberFormat="1" applyFont="1" applyFill="1" applyBorder="1" applyAlignment="1" applyProtection="1">
      <alignment horizontal="center"/>
      <protection hidden="1"/>
    </xf>
    <xf numFmtId="10" fontId="17" fillId="12" borderId="11" xfId="1" applyNumberFormat="1" applyFont="1" applyFill="1" applyBorder="1" applyAlignment="1" applyProtection="1">
      <alignment horizontal="center"/>
      <protection hidden="1"/>
    </xf>
    <xf numFmtId="10" fontId="22" fillId="11" borderId="11" xfId="1" applyNumberFormat="1" applyFont="1" applyFill="1" applyBorder="1" applyAlignment="1" applyProtection="1">
      <alignment horizontal="center"/>
      <protection hidden="1"/>
    </xf>
    <xf numFmtId="10" fontId="21" fillId="5" borderId="11" xfId="1" applyNumberFormat="1" applyFont="1" applyFill="1" applyBorder="1" applyAlignment="1" applyProtection="1">
      <alignment horizontal="center"/>
      <protection hidden="1"/>
    </xf>
    <xf numFmtId="10" fontId="23" fillId="3" borderId="11" xfId="1" applyNumberFormat="1" applyFont="1" applyFill="1" applyBorder="1" applyAlignment="1" applyProtection="1">
      <alignment horizontal="center"/>
      <protection hidden="1"/>
    </xf>
    <xf numFmtId="10" fontId="26" fillId="12" borderId="11" xfId="1" applyNumberFormat="1" applyFont="1" applyFill="1" applyBorder="1" applyAlignment="1" applyProtection="1">
      <alignment horizontal="center"/>
      <protection hidden="1"/>
    </xf>
    <xf numFmtId="10" fontId="25" fillId="11" borderId="11" xfId="1" applyNumberFormat="1" applyFont="1" applyFill="1" applyBorder="1" applyAlignment="1" applyProtection="1">
      <alignment horizontal="center"/>
      <protection hidden="1"/>
    </xf>
    <xf numFmtId="10" fontId="17" fillId="5" borderId="11" xfId="1" applyNumberFormat="1" applyFont="1" applyFill="1" applyBorder="1" applyAlignment="1" applyProtection="1">
      <alignment horizontal="center"/>
      <protection hidden="1"/>
    </xf>
    <xf numFmtId="9" fontId="0" fillId="2" borderId="12" xfId="0" applyNumberFormat="1" applyFill="1" applyBorder="1" applyAlignment="1" applyProtection="1">
      <alignment horizontal="center"/>
      <protection hidden="1"/>
    </xf>
    <xf numFmtId="10" fontId="22" fillId="5" borderId="12" xfId="1" applyNumberFormat="1" applyFont="1" applyFill="1" applyBorder="1" applyAlignment="1" applyProtection="1">
      <alignment horizontal="center"/>
      <protection hidden="1"/>
    </xf>
    <xf numFmtId="10" fontId="24" fillId="11" borderId="12" xfId="1" applyNumberFormat="1" applyFont="1" applyFill="1" applyBorder="1" applyAlignment="1" applyProtection="1">
      <alignment horizontal="center"/>
      <protection hidden="1"/>
    </xf>
    <xf numFmtId="10" fontId="8" fillId="12" borderId="12" xfId="1" applyNumberFormat="1" applyFont="1" applyFill="1" applyBorder="1" applyAlignment="1" applyProtection="1">
      <alignment horizontal="center"/>
      <protection hidden="1"/>
    </xf>
    <xf numFmtId="10" fontId="17" fillId="3" borderId="12" xfId="1" applyNumberFormat="1" applyFont="1" applyFill="1" applyBorder="1" applyAlignment="1" applyProtection="1">
      <alignment horizontal="center"/>
      <protection hidden="1"/>
    </xf>
    <xf numFmtId="10" fontId="25" fillId="5" borderId="12" xfId="1" applyNumberFormat="1" applyFont="1" applyFill="1" applyBorder="1" applyAlignment="1" applyProtection="1">
      <alignment horizontal="center"/>
      <protection hidden="1"/>
    </xf>
    <xf numFmtId="10" fontId="18" fillId="11" borderId="12" xfId="1" applyNumberFormat="1" applyFont="1" applyFill="1" applyBorder="1" applyAlignment="1" applyProtection="1">
      <alignment horizontal="center"/>
      <protection hidden="1"/>
    </xf>
    <xf numFmtId="10" fontId="23" fillId="12" borderId="12" xfId="1" applyNumberFormat="1" applyFont="1" applyFill="1" applyBorder="1" applyAlignment="1" applyProtection="1">
      <alignment horizontal="center"/>
      <protection hidden="1"/>
    </xf>
    <xf numFmtId="10" fontId="26" fillId="3" borderId="12" xfId="1" applyNumberFormat="1" applyFont="1" applyFill="1" applyBorder="1" applyAlignment="1" applyProtection="1">
      <alignment horizontal="center"/>
      <protection hidden="1"/>
    </xf>
    <xf numFmtId="9" fontId="0" fillId="2" borderId="17" xfId="0" applyNumberFormat="1" applyFill="1" applyBorder="1" applyAlignment="1" applyProtection="1">
      <alignment horizontal="center"/>
      <protection hidden="1"/>
    </xf>
    <xf numFmtId="10" fontId="21" fillId="12" borderId="18" xfId="1" applyNumberFormat="1" applyFont="1" applyFill="1" applyBorder="1" applyAlignment="1" applyProtection="1">
      <alignment horizontal="center"/>
      <protection hidden="1"/>
    </xf>
    <xf numFmtId="10" fontId="23" fillId="3" borderId="18" xfId="1" applyNumberFormat="1" applyFont="1" applyFill="1" applyBorder="1" applyAlignment="1" applyProtection="1">
      <alignment horizontal="center"/>
      <protection hidden="1"/>
    </xf>
    <xf numFmtId="10" fontId="18" fillId="5" borderId="18" xfId="1" applyNumberFormat="1" applyFont="1" applyFill="1" applyBorder="1" applyAlignment="1" applyProtection="1">
      <alignment horizontal="center"/>
      <protection hidden="1"/>
    </xf>
    <xf numFmtId="10" fontId="25" fillId="11" borderId="18" xfId="1" applyNumberFormat="1" applyFont="1" applyFill="1" applyBorder="1" applyAlignment="1" applyProtection="1">
      <alignment horizontal="center"/>
      <protection hidden="1"/>
    </xf>
    <xf numFmtId="10" fontId="17" fillId="12" borderId="18" xfId="1" applyNumberFormat="1" applyFont="1" applyFill="1" applyBorder="1" applyAlignment="1" applyProtection="1">
      <alignment horizontal="center"/>
      <protection hidden="1"/>
    </xf>
    <xf numFmtId="10" fontId="8" fillId="3" borderId="18" xfId="1" applyNumberFormat="1" applyFont="1" applyFill="1" applyBorder="1" applyAlignment="1" applyProtection="1">
      <alignment horizontal="center"/>
      <protection hidden="1"/>
    </xf>
    <xf numFmtId="10" fontId="27" fillId="5" borderId="18" xfId="1" applyNumberFormat="1" applyFont="1" applyFill="1" applyBorder="1" applyAlignment="1" applyProtection="1">
      <alignment horizontal="center"/>
      <protection hidden="1"/>
    </xf>
    <xf numFmtId="10" fontId="22" fillId="11" borderId="19" xfId="1" applyNumberFormat="1" applyFont="1" applyFill="1" applyBorder="1" applyAlignment="1" applyProtection="1">
      <alignment horizontal="center"/>
      <protection hidden="1"/>
    </xf>
    <xf numFmtId="0" fontId="0" fillId="4" borderId="4" xfId="0" applyFill="1" applyBorder="1" applyAlignment="1" applyProtection="1">
      <alignment horizontal="center"/>
      <protection hidden="1"/>
    </xf>
    <xf numFmtId="0" fontId="7" fillId="4" borderId="0" xfId="2" applyFont="1" applyFill="1" applyBorder="1" applyAlignment="1" applyProtection="1">
      <alignment horizontal="center"/>
      <protection hidden="1"/>
    </xf>
    <xf numFmtId="0" fontId="5" fillId="0" borderId="11" xfId="0" applyFont="1" applyFill="1" applyBorder="1" applyAlignment="1" applyProtection="1">
      <alignment horizontal="center"/>
      <protection hidden="1"/>
    </xf>
    <xf numFmtId="0" fontId="5" fillId="0" borderId="13" xfId="0" applyFont="1" applyFill="1" applyBorder="1" applyAlignment="1" applyProtection="1">
      <alignment horizontal="center"/>
      <protection hidden="1"/>
    </xf>
    <xf numFmtId="0" fontId="5" fillId="0" borderId="12" xfId="0" applyFont="1" applyFill="1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0" fillId="13" borderId="11" xfId="0" applyFill="1" applyBorder="1" applyAlignment="1" applyProtection="1">
      <alignment horizontal="center"/>
      <protection hidden="1"/>
    </xf>
    <xf numFmtId="0" fontId="0" fillId="13" borderId="13" xfId="0" applyFill="1" applyBorder="1" applyAlignment="1" applyProtection="1">
      <alignment horizontal="center"/>
      <protection hidden="1"/>
    </xf>
    <xf numFmtId="0" fontId="0" fillId="13" borderId="16" xfId="0" applyFill="1" applyBorder="1" applyAlignment="1" applyProtection="1">
      <alignment horizontal="center"/>
      <protection hidden="1"/>
    </xf>
    <xf numFmtId="0" fontId="0" fillId="13" borderId="12" xfId="0" applyFill="1" applyBorder="1" applyAlignment="1" applyProtection="1">
      <alignment horizontal="center"/>
      <protection hidden="1"/>
    </xf>
    <xf numFmtId="0" fontId="0" fillId="14" borderId="1" xfId="0" applyFill="1" applyBorder="1" applyAlignment="1" applyProtection="1">
      <alignment horizontal="center"/>
      <protection hidden="1"/>
    </xf>
    <xf numFmtId="0" fontId="0" fillId="2" borderId="13" xfId="0" applyFill="1" applyBorder="1" applyAlignment="1" applyProtection="1">
      <alignment horizontal="center"/>
      <protection hidden="1"/>
    </xf>
    <xf numFmtId="0" fontId="0" fillId="2" borderId="12" xfId="0" applyFill="1" applyBorder="1" applyAlignment="1" applyProtection="1">
      <alignment horizontal="center"/>
      <protection hidden="1"/>
    </xf>
  </cellXfs>
  <cellStyles count="9">
    <cellStyle name="Formule" xfId="6" xr:uid="{00000000-0005-0000-0000-000000000000}"/>
    <cellStyle name="Lien hypertexte" xfId="8" builtinId="8"/>
    <cellStyle name="Normal" xfId="0" builtinId="0"/>
    <cellStyle name="Normal 2" xfId="1" xr:uid="{00000000-0005-0000-0000-000003000000}"/>
    <cellStyle name="Normal 2 2" xfId="2" xr:uid="{00000000-0005-0000-0000-000004000000}"/>
    <cellStyle name="Normal 3" xfId="4" xr:uid="{00000000-0005-0000-0000-000005000000}"/>
    <cellStyle name="Pourcentage 2" xfId="7" xr:uid="{00000000-0005-0000-0000-000006000000}"/>
    <cellStyle name="Saisie" xfId="5" xr:uid="{00000000-0005-0000-0000-000007000000}"/>
    <cellStyle name="Titre 2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Contribution% des facteurs à la 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CGL4f4n!$E$42:$E$52</c:f>
              <c:strCache>
                <c:ptCount val="11"/>
                <c:pt idx="0">
                  <c:v>résiduel</c:v>
                </c:pt>
                <c:pt idx="1">
                  <c:v>opérateur</c:v>
                </c:pt>
                <c:pt idx="2">
                  <c:v>échantillon</c:v>
                </c:pt>
                <c:pt idx="3">
                  <c:v>jour</c:v>
                </c:pt>
                <c:pt idx="4">
                  <c:v>débit</c:v>
                </c:pt>
                <c:pt idx="5">
                  <c:v>pression</c:v>
                </c:pt>
                <c:pt idx="6">
                  <c:v>T°C</c:v>
                </c:pt>
                <c:pt idx="7">
                  <c:v>colonne</c:v>
                </c:pt>
                <c:pt idx="8">
                  <c:v>gaz</c:v>
                </c:pt>
                <c:pt idx="9">
                  <c:v>lg onde</c:v>
                </c:pt>
                <c:pt idx="10">
                  <c:v>alcool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CGL4f4n!$E$42:$E$52</c:f>
              <c:strCache>
                <c:ptCount val="11"/>
                <c:pt idx="0">
                  <c:v>résiduel</c:v>
                </c:pt>
                <c:pt idx="1">
                  <c:v>opérateur</c:v>
                </c:pt>
                <c:pt idx="2">
                  <c:v>échantillon</c:v>
                </c:pt>
                <c:pt idx="3">
                  <c:v>jour</c:v>
                </c:pt>
                <c:pt idx="4">
                  <c:v>débit</c:v>
                </c:pt>
                <c:pt idx="5">
                  <c:v>pression</c:v>
                </c:pt>
                <c:pt idx="6">
                  <c:v>T°C</c:v>
                </c:pt>
                <c:pt idx="7">
                  <c:v>colonne</c:v>
                </c:pt>
                <c:pt idx="8">
                  <c:v>gaz</c:v>
                </c:pt>
                <c:pt idx="9">
                  <c:v>lg onde</c:v>
                </c:pt>
                <c:pt idx="10">
                  <c:v>alcool</c:v>
                </c:pt>
              </c:strCache>
            </c:strRef>
          </c:cat>
          <c:val>
            <c:numRef>
              <c:f>CGL4f4n!$N$42:$N$52</c:f>
              <c:numCache>
                <c:formatCode>0%</c:formatCode>
                <c:ptCount val="11"/>
                <c:pt idx="0">
                  <c:v>0.16954797607620364</c:v>
                </c:pt>
                <c:pt idx="1">
                  <c:v>6.1933412097200406E-3</c:v>
                </c:pt>
                <c:pt idx="2">
                  <c:v>0.78484546451075843</c:v>
                </c:pt>
                <c:pt idx="3">
                  <c:v>2.6526735472714351E-3</c:v>
                </c:pt>
                <c:pt idx="4">
                  <c:v>2.0211583275374272E-5</c:v>
                </c:pt>
                <c:pt idx="5">
                  <c:v>1.2265988933082058E-2</c:v>
                </c:pt>
                <c:pt idx="6">
                  <c:v>4.3603454382630715E-3</c:v>
                </c:pt>
                <c:pt idx="7">
                  <c:v>7.5641600730071183E-6</c:v>
                </c:pt>
                <c:pt idx="8">
                  <c:v>5.0361388176595493E-3</c:v>
                </c:pt>
                <c:pt idx="9">
                  <c:v>4.2874485615715168E-3</c:v>
                </c:pt>
                <c:pt idx="10">
                  <c:v>1.0782847162121875E-2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4-41A9-B11C-52BBF5B35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802592"/>
        <c:axId val="259792256"/>
      </c:barChart>
      <c:catAx>
        <c:axId val="25980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792256"/>
        <c:crosses val="autoZero"/>
        <c:auto val="1"/>
        <c:lblAlgn val="ctr"/>
        <c:lblOffset val="100"/>
        <c:noMultiLvlLbl val="0"/>
      </c:catAx>
      <c:valAx>
        <c:axId val="2597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80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CGL4f4n!$Z$14:$Z$76</c:f>
              <c:numCache>
                <c:formatCode>0.00</c:formatCode>
                <c:ptCount val="63"/>
                <c:pt idx="0">
                  <c:v>199.14925762738972</c:v>
                </c:pt>
                <c:pt idx="1">
                  <c:v>199.21099346951976</c:v>
                </c:pt>
                <c:pt idx="2">
                  <c:v>199.27272931164984</c:v>
                </c:pt>
                <c:pt idx="3">
                  <c:v>199.33446515377989</c:v>
                </c:pt>
                <c:pt idx="4">
                  <c:v>199.39620099590996</c:v>
                </c:pt>
                <c:pt idx="5">
                  <c:v>199.45793683804001</c:v>
                </c:pt>
                <c:pt idx="6">
                  <c:v>199.51967268017009</c:v>
                </c:pt>
                <c:pt idx="7">
                  <c:v>199.58140852230014</c:v>
                </c:pt>
                <c:pt idx="8">
                  <c:v>199.64314436443021</c:v>
                </c:pt>
                <c:pt idx="9">
                  <c:v>199.70488020656026</c:v>
                </c:pt>
                <c:pt idx="10">
                  <c:v>199.76661604869034</c:v>
                </c:pt>
                <c:pt idx="11">
                  <c:v>199.82835189082039</c:v>
                </c:pt>
                <c:pt idx="12">
                  <c:v>199.89008773295046</c:v>
                </c:pt>
                <c:pt idx="13">
                  <c:v>199.95182357508051</c:v>
                </c:pt>
                <c:pt idx="14">
                  <c:v>200.01355941721056</c:v>
                </c:pt>
                <c:pt idx="15">
                  <c:v>200.07529525934063</c:v>
                </c:pt>
                <c:pt idx="16">
                  <c:v>200.13703110147068</c:v>
                </c:pt>
                <c:pt idx="17">
                  <c:v>200.19876694360076</c:v>
                </c:pt>
                <c:pt idx="18">
                  <c:v>200.26050278573081</c:v>
                </c:pt>
                <c:pt idx="19">
                  <c:v>200.32223862786088</c:v>
                </c:pt>
                <c:pt idx="20">
                  <c:v>200.38397446999093</c:v>
                </c:pt>
                <c:pt idx="21">
                  <c:v>200.44571031212101</c:v>
                </c:pt>
                <c:pt idx="22">
                  <c:v>200.50744615425106</c:v>
                </c:pt>
                <c:pt idx="23">
                  <c:v>200.56918199638113</c:v>
                </c:pt>
                <c:pt idx="24">
                  <c:v>200.63091783851118</c:v>
                </c:pt>
                <c:pt idx="25">
                  <c:v>200.69265368064126</c:v>
                </c:pt>
                <c:pt idx="26">
                  <c:v>200.75438952277131</c:v>
                </c:pt>
                <c:pt idx="27">
                  <c:v>200.81612536490138</c:v>
                </c:pt>
                <c:pt idx="28">
                  <c:v>200.87786120703143</c:v>
                </c:pt>
                <c:pt idx="29">
                  <c:v>200.93959704916151</c:v>
                </c:pt>
                <c:pt idx="30">
                  <c:v>201.00133289129155</c:v>
                </c:pt>
                <c:pt idx="31">
                  <c:v>201.0630687334216</c:v>
                </c:pt>
                <c:pt idx="32">
                  <c:v>201.12480457555168</c:v>
                </c:pt>
                <c:pt idx="33">
                  <c:v>201.18654041768173</c:v>
                </c:pt>
                <c:pt idx="34">
                  <c:v>201.2482762598118</c:v>
                </c:pt>
                <c:pt idx="35">
                  <c:v>201.31001210194185</c:v>
                </c:pt>
                <c:pt idx="36">
                  <c:v>201.37174794407193</c:v>
                </c:pt>
                <c:pt idx="37">
                  <c:v>201.43348378620198</c:v>
                </c:pt>
                <c:pt idx="38">
                  <c:v>201.49521962833205</c:v>
                </c:pt>
                <c:pt idx="39">
                  <c:v>201.5569554704621</c:v>
                </c:pt>
                <c:pt idx="40">
                  <c:v>201.61869131259218</c:v>
                </c:pt>
                <c:pt idx="41">
                  <c:v>201.68042715472222</c:v>
                </c:pt>
                <c:pt idx="42">
                  <c:v>201.7421629968523</c:v>
                </c:pt>
                <c:pt idx="43">
                  <c:v>201.80389883898235</c:v>
                </c:pt>
                <c:pt idx="44">
                  <c:v>201.86563468111243</c:v>
                </c:pt>
                <c:pt idx="45">
                  <c:v>201.92737052324247</c:v>
                </c:pt>
                <c:pt idx="46">
                  <c:v>201.98910636537255</c:v>
                </c:pt>
                <c:pt idx="47">
                  <c:v>202.0508422075026</c:v>
                </c:pt>
                <c:pt idx="48">
                  <c:v>202.11257804963265</c:v>
                </c:pt>
                <c:pt idx="49">
                  <c:v>202.17431389176272</c:v>
                </c:pt>
                <c:pt idx="50">
                  <c:v>202.23604973389277</c:v>
                </c:pt>
                <c:pt idx="51">
                  <c:v>202.29778557602285</c:v>
                </c:pt>
                <c:pt idx="52">
                  <c:v>202.35952141815289</c:v>
                </c:pt>
                <c:pt idx="53">
                  <c:v>202.42125726028297</c:v>
                </c:pt>
                <c:pt idx="54">
                  <c:v>202.48299310241302</c:v>
                </c:pt>
                <c:pt idx="55">
                  <c:v>202.5447289445431</c:v>
                </c:pt>
                <c:pt idx="56">
                  <c:v>202.60646478667314</c:v>
                </c:pt>
                <c:pt idx="57">
                  <c:v>202.66820062880322</c:v>
                </c:pt>
                <c:pt idx="58">
                  <c:v>202.72993647093327</c:v>
                </c:pt>
                <c:pt idx="59">
                  <c:v>202.79167231306334</c:v>
                </c:pt>
                <c:pt idx="60">
                  <c:v>202.85340815519339</c:v>
                </c:pt>
              </c:numCache>
            </c:numRef>
          </c:xVal>
          <c:yVal>
            <c:numRef>
              <c:f>CGL4f4n!$AA$14:$AA$76</c:f>
              <c:numCache>
                <c:formatCode>0.00E+00</c:formatCode>
                <c:ptCount val="63"/>
                <c:pt idx="0">
                  <c:v>7.1787283675524109E-3</c:v>
                </c:pt>
                <c:pt idx="1">
                  <c:v>9.6419392923079387E-3</c:v>
                </c:pt>
                <c:pt idx="2">
                  <c:v>1.2821484748364413E-2</c:v>
                </c:pt>
                <c:pt idx="3">
                  <c:v>1.687987796856812E-2</c:v>
                </c:pt>
                <c:pt idx="4">
                  <c:v>2.2001755811591962E-2</c:v>
                </c:pt>
                <c:pt idx="5">
                  <c:v>2.8392421466674908E-2</c:v>
                </c:pt>
                <c:pt idx="6">
                  <c:v>3.6274762799321993E-2</c:v>
                </c:pt>
                <c:pt idx="7">
                  <c:v>4.5884265548565735E-2</c:v>
                </c:pt>
                <c:pt idx="8">
                  <c:v>5.7461908062251724E-2</c:v>
                </c:pt>
                <c:pt idx="9">
                  <c:v>7.1244830333349496E-2</c:v>
                </c:pt>
                <c:pt idx="10">
                  <c:v>8.745481498323969E-2</c:v>
                </c:pt>
                <c:pt idx="11">
                  <c:v>0.10628479747055335</c:v>
                </c:pt>
                <c:pt idx="12">
                  <c:v>0.12788382822181288</c:v>
                </c:pt>
                <c:pt idx="13">
                  <c:v>0.15234112653513335</c:v>
                </c:pt>
                <c:pt idx="14">
                  <c:v>0.17967007633227125</c:v>
                </c:pt>
                <c:pt idx="15">
                  <c:v>0.20979319500175012</c:v>
                </c:pt>
                <c:pt idx="16">
                  <c:v>0.24252923499497109</c:v>
                </c:pt>
                <c:pt idx="17">
                  <c:v>0.27758363073233777</c:v>
                </c:pt>
                <c:pt idx="18">
                  <c:v>0.31454346176101328</c:v>
                </c:pt>
                <c:pt idx="19">
                  <c:v>0.35287795471161559</c:v>
                </c:pt>
                <c:pt idx="20">
                  <c:v>0.39194528845880261</c:v>
                </c:pt>
                <c:pt idx="21">
                  <c:v>0.43100610717868709</c:v>
                </c:pt>
                <c:pt idx="22">
                  <c:v>0.4692437047366671</c:v>
                </c:pt>
                <c:pt idx="23">
                  <c:v>0.50579035223805036</c:v>
                </c:pt>
                <c:pt idx="24">
                  <c:v>0.5397587388372872</c:v>
                </c:pt>
                <c:pt idx="25">
                  <c:v>0.57027702970762451</c:v>
                </c:pt>
                <c:pt idx="26">
                  <c:v>0.59652566094016002</c:v>
                </c:pt>
                <c:pt idx="27">
                  <c:v>0.6177737312743562</c:v>
                </c:pt>
                <c:pt idx="28">
                  <c:v>0.63341274773838874</c:v>
                </c:pt>
                <c:pt idx="29">
                  <c:v>0.64298555552338077</c:v>
                </c:pt>
                <c:pt idx="30">
                  <c:v>0.64620853403273382</c:v>
                </c:pt>
                <c:pt idx="31">
                  <c:v>0.64298555552338077</c:v>
                </c:pt>
                <c:pt idx="32">
                  <c:v>0.63341274773838874</c:v>
                </c:pt>
                <c:pt idx="33">
                  <c:v>0.6177737312743562</c:v>
                </c:pt>
                <c:pt idx="34">
                  <c:v>0.59652566094016002</c:v>
                </c:pt>
                <c:pt idx="35">
                  <c:v>0.57027702970762451</c:v>
                </c:pt>
                <c:pt idx="36">
                  <c:v>0.5397587388372872</c:v>
                </c:pt>
                <c:pt idx="37">
                  <c:v>0.50579035223805036</c:v>
                </c:pt>
                <c:pt idx="38">
                  <c:v>0.4692437047366671</c:v>
                </c:pt>
                <c:pt idx="39">
                  <c:v>0.43100610717868709</c:v>
                </c:pt>
                <c:pt idx="40">
                  <c:v>0.39194528845880261</c:v>
                </c:pt>
                <c:pt idx="41">
                  <c:v>0.35287795471161559</c:v>
                </c:pt>
                <c:pt idx="42">
                  <c:v>0.31454346176101328</c:v>
                </c:pt>
                <c:pt idx="43">
                  <c:v>0.27758363073233777</c:v>
                </c:pt>
                <c:pt idx="44">
                  <c:v>0.24252923499497109</c:v>
                </c:pt>
                <c:pt idx="45">
                  <c:v>0.20979319500175012</c:v>
                </c:pt>
                <c:pt idx="46">
                  <c:v>0.17967007633227125</c:v>
                </c:pt>
                <c:pt idx="47">
                  <c:v>0.15234112653513335</c:v>
                </c:pt>
                <c:pt idx="48">
                  <c:v>0.12788382822181288</c:v>
                </c:pt>
                <c:pt idx="49">
                  <c:v>0.10628479747055335</c:v>
                </c:pt>
                <c:pt idx="50">
                  <c:v>8.745481498323969E-2</c:v>
                </c:pt>
                <c:pt idx="51">
                  <c:v>7.1244830333349496E-2</c:v>
                </c:pt>
                <c:pt idx="52">
                  <c:v>5.7461908062251724E-2</c:v>
                </c:pt>
                <c:pt idx="53">
                  <c:v>4.5884265548565735E-2</c:v>
                </c:pt>
                <c:pt idx="54">
                  <c:v>3.6274762799321993E-2</c:v>
                </c:pt>
                <c:pt idx="55">
                  <c:v>2.8392421466674908E-2</c:v>
                </c:pt>
                <c:pt idx="56">
                  <c:v>2.2001755811591962E-2</c:v>
                </c:pt>
                <c:pt idx="57">
                  <c:v>1.687987796856812E-2</c:v>
                </c:pt>
                <c:pt idx="58">
                  <c:v>1.2821484748364413E-2</c:v>
                </c:pt>
                <c:pt idx="59">
                  <c:v>9.6419392923079387E-3</c:v>
                </c:pt>
                <c:pt idx="60">
                  <c:v>7.1787283675524109E-3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9-4E6F-9C65-D6A3E039F37B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9D9-4E6F-9C65-D6A3E039F37B}"/>
              </c:ext>
            </c:extLst>
          </c:dPt>
          <c:xVal>
            <c:numRef>
              <c:f>CGL4f4n!$T$8:$U$8</c:f>
              <c:numCache>
                <c:formatCode>General</c:formatCode>
                <c:ptCount val="2"/>
                <c:pt idx="0">
                  <c:v>199</c:v>
                </c:pt>
                <c:pt idx="1">
                  <c:v>199</c:v>
                </c:pt>
              </c:numCache>
            </c:numRef>
          </c:xVal>
          <c:yVal>
            <c:numRef>
              <c:f>CGL4f4n!$V$8:$W$8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0.64620853403273382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D9-4E6F-9C65-D6A3E039F37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D9-4E6F-9C65-D6A3E039F37B}"/>
              </c:ext>
            </c:extLst>
          </c:dPt>
          <c:xVal>
            <c:numRef>
              <c:f>CGL4f4n!$T$9:$U$9</c:f>
              <c:numCache>
                <c:formatCode>General</c:formatCode>
                <c:ptCount val="2"/>
                <c:pt idx="0">
                  <c:v>202</c:v>
                </c:pt>
                <c:pt idx="1">
                  <c:v>202</c:v>
                </c:pt>
              </c:numCache>
            </c:numRef>
          </c:xVal>
          <c:yVal>
            <c:numRef>
              <c:f>CGL4f4n!$V$9:$W$9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0.64620853403273382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9D9-4E6F-9C65-D6A3E039F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05312"/>
        <c:axId val="259805856"/>
      </c:scatterChart>
      <c:valAx>
        <c:axId val="25980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805856"/>
        <c:crosses val="autoZero"/>
        <c:crossBetween val="midCat"/>
      </c:valAx>
      <c:valAx>
        <c:axId val="259805856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80531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risque 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CGL4f4n!$E$43:$E$52</c:f>
              <c:strCache>
                <c:ptCount val="10"/>
                <c:pt idx="0">
                  <c:v>opérateur</c:v>
                </c:pt>
                <c:pt idx="1">
                  <c:v>échantillon</c:v>
                </c:pt>
                <c:pt idx="2">
                  <c:v>jour</c:v>
                </c:pt>
                <c:pt idx="3">
                  <c:v>débit</c:v>
                </c:pt>
                <c:pt idx="4">
                  <c:v>pression</c:v>
                </c:pt>
                <c:pt idx="5">
                  <c:v>T°C</c:v>
                </c:pt>
                <c:pt idx="6">
                  <c:v>colonne</c:v>
                </c:pt>
                <c:pt idx="7">
                  <c:v>gaz</c:v>
                </c:pt>
                <c:pt idx="8">
                  <c:v>lg onde</c:v>
                </c:pt>
                <c:pt idx="9">
                  <c:v>alcool</c:v>
                </c:pt>
              </c:strCache>
            </c:strRef>
          </c:cat>
          <c:val>
            <c:numRef>
              <c:f>CGL4f4n!$O$43:$O$52</c:f>
              <c:numCache>
                <c:formatCode>0.00%</c:formatCode>
                <c:ptCount val="10"/>
                <c:pt idx="0">
                  <c:v>0.98409070987466107</c:v>
                </c:pt>
                <c:pt idx="1">
                  <c:v>5.405588457721433E-2</c:v>
                </c:pt>
                <c:pt idx="2">
                  <c:v>0.99999986276463793</c:v>
                </c:pt>
                <c:pt idx="3">
                  <c:v>1</c:v>
                </c:pt>
                <c:pt idx="4">
                  <c:v>0.92580922993575343</c:v>
                </c:pt>
                <c:pt idx="5">
                  <c:v>0.9946480825728059</c:v>
                </c:pt>
                <c:pt idx="6">
                  <c:v>1</c:v>
                </c:pt>
                <c:pt idx="7">
                  <c:v>0.99139637222287724</c:v>
                </c:pt>
                <c:pt idx="8">
                  <c:v>0.99495031736313178</c:v>
                </c:pt>
                <c:pt idx="9" formatCode="0%">
                  <c:v>0.9415913322512518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3-4CB4-BCA0-8168E5059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803136"/>
        <c:axId val="259806944"/>
      </c:barChart>
      <c:catAx>
        <c:axId val="25980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9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806944"/>
        <c:crosses val="autoZero"/>
        <c:auto val="1"/>
        <c:lblAlgn val="ctr"/>
        <c:lblOffset val="100"/>
        <c:noMultiLvlLbl val="0"/>
      </c:catAx>
      <c:valAx>
        <c:axId val="259806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80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Contribution% des facteurs à la 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'CGL4f4n (2)'!$E$42:$E$52</c:f>
              <c:strCache>
                <c:ptCount val="11"/>
                <c:pt idx="0">
                  <c:v>résiduel</c:v>
                </c:pt>
                <c:pt idx="1">
                  <c:v>niveau</c:v>
                </c:pt>
                <c:pt idx="2">
                  <c:v>échantillon (4 éch)</c:v>
                </c:pt>
                <c:pt idx="3">
                  <c:v>jour (4j)</c:v>
                </c:pt>
                <c:pt idx="4">
                  <c:v>pression</c:v>
                </c:pt>
                <c:pt idx="5">
                  <c:v>température</c:v>
                </c:pt>
                <c:pt idx="6">
                  <c:v>tps</c:v>
                </c:pt>
                <c:pt idx="7">
                  <c:v>lot</c:v>
                </c:pt>
                <c:pt idx="8">
                  <c:v>solvant</c:v>
                </c:pt>
                <c:pt idx="9">
                  <c:v>débit</c:v>
                </c:pt>
                <c:pt idx="10">
                  <c:v>lg d'onde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'CGL4f4n (2)'!$E$42:$E$52</c:f>
              <c:strCache>
                <c:ptCount val="11"/>
                <c:pt idx="0">
                  <c:v>résiduel</c:v>
                </c:pt>
                <c:pt idx="1">
                  <c:v>niveau</c:v>
                </c:pt>
                <c:pt idx="2">
                  <c:v>échantillon (4 éch)</c:v>
                </c:pt>
                <c:pt idx="3">
                  <c:v>jour (4j)</c:v>
                </c:pt>
                <c:pt idx="4">
                  <c:v>pression</c:v>
                </c:pt>
                <c:pt idx="5">
                  <c:v>température</c:v>
                </c:pt>
                <c:pt idx="6">
                  <c:v>tps</c:v>
                </c:pt>
                <c:pt idx="7">
                  <c:v>lot</c:v>
                </c:pt>
                <c:pt idx="8">
                  <c:v>solvant</c:v>
                </c:pt>
                <c:pt idx="9">
                  <c:v>débit</c:v>
                </c:pt>
                <c:pt idx="10">
                  <c:v>lg d'onde</c:v>
                </c:pt>
              </c:strCache>
            </c:strRef>
          </c:cat>
          <c:val>
            <c:numRef>
              <c:f>'CGL4f4n (2)'!$N$42:$N$52</c:f>
              <c:numCache>
                <c:formatCode>0%</c:formatCode>
                <c:ptCount val="11"/>
                <c:pt idx="0">
                  <c:v>0.5628023316731251</c:v>
                </c:pt>
                <c:pt idx="1">
                  <c:v>9.7569801906504505E-3</c:v>
                </c:pt>
                <c:pt idx="2">
                  <c:v>0.16557897640587477</c:v>
                </c:pt>
                <c:pt idx="3">
                  <c:v>5.483195839702134E-2</c:v>
                </c:pt>
                <c:pt idx="4">
                  <c:v>3.284213529102799E-4</c:v>
                </c:pt>
                <c:pt idx="5">
                  <c:v>3.4324304880087614E-2</c:v>
                </c:pt>
                <c:pt idx="6">
                  <c:v>5.9025304131274797E-3</c:v>
                </c:pt>
                <c:pt idx="7">
                  <c:v>6.5011943703272956E-2</c:v>
                </c:pt>
                <c:pt idx="8">
                  <c:v>4.7115928979017787E-3</c:v>
                </c:pt>
                <c:pt idx="9">
                  <c:v>7.1947745686500045E-2</c:v>
                </c:pt>
                <c:pt idx="10">
                  <c:v>2.4803214399528178E-2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0-4139-814E-6CFB881D4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802592"/>
        <c:axId val="259792256"/>
      </c:barChart>
      <c:catAx>
        <c:axId val="25980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792256"/>
        <c:crosses val="autoZero"/>
        <c:auto val="1"/>
        <c:lblAlgn val="ctr"/>
        <c:lblOffset val="100"/>
        <c:noMultiLvlLbl val="0"/>
      </c:catAx>
      <c:valAx>
        <c:axId val="2597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80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'CGL4f4n (2)'!$Z$14:$Z$76</c:f>
              <c:numCache>
                <c:formatCode>0.00</c:formatCode>
                <c:ptCount val="63"/>
                <c:pt idx="0">
                  <c:v>0.98938292095642744</c:v>
                </c:pt>
                <c:pt idx="1">
                  <c:v>0.98973299008413351</c:v>
                </c:pt>
                <c:pt idx="2">
                  <c:v>0.99008305921183959</c:v>
                </c:pt>
                <c:pt idx="3">
                  <c:v>0.99043312833954567</c:v>
                </c:pt>
                <c:pt idx="4">
                  <c:v>0.99078319746725185</c:v>
                </c:pt>
                <c:pt idx="5">
                  <c:v>0.99113326659495793</c:v>
                </c:pt>
                <c:pt idx="6">
                  <c:v>0.99148333572266401</c:v>
                </c:pt>
                <c:pt idx="7">
                  <c:v>0.99183340485037008</c:v>
                </c:pt>
                <c:pt idx="8">
                  <c:v>0.99218347397807627</c:v>
                </c:pt>
                <c:pt idx="9">
                  <c:v>0.99253354310578235</c:v>
                </c:pt>
                <c:pt idx="10">
                  <c:v>0.99288361223348842</c:v>
                </c:pt>
                <c:pt idx="11">
                  <c:v>0.9932336813611945</c:v>
                </c:pt>
                <c:pt idx="12">
                  <c:v>0.99358375048890069</c:v>
                </c:pt>
                <c:pt idx="13">
                  <c:v>0.99393381961660676</c:v>
                </c:pt>
                <c:pt idx="14">
                  <c:v>0.99428388874431284</c:v>
                </c:pt>
                <c:pt idx="15">
                  <c:v>0.99463395787201891</c:v>
                </c:pt>
                <c:pt idx="16">
                  <c:v>0.9949840269997251</c:v>
                </c:pt>
                <c:pt idx="17">
                  <c:v>0.99533409612743118</c:v>
                </c:pt>
                <c:pt idx="18">
                  <c:v>0.99568416525513725</c:v>
                </c:pt>
                <c:pt idx="19">
                  <c:v>0.99603423438284333</c:v>
                </c:pt>
                <c:pt idx="20">
                  <c:v>0.99638430351054952</c:v>
                </c:pt>
                <c:pt idx="21">
                  <c:v>0.99673437263825559</c:v>
                </c:pt>
                <c:pt idx="22">
                  <c:v>0.99708444176596167</c:v>
                </c:pt>
                <c:pt idx="23">
                  <c:v>0.99743451089366775</c:v>
                </c:pt>
                <c:pt idx="24">
                  <c:v>0.99778458002137393</c:v>
                </c:pt>
                <c:pt idx="25">
                  <c:v>0.99813464914908001</c:v>
                </c:pt>
                <c:pt idx="26">
                  <c:v>0.99848471827678609</c:v>
                </c:pt>
                <c:pt idx="27">
                  <c:v>0.99883478740449216</c:v>
                </c:pt>
                <c:pt idx="28">
                  <c:v>0.99918485653219835</c:v>
                </c:pt>
                <c:pt idx="29">
                  <c:v>0.99953492565990443</c:v>
                </c:pt>
                <c:pt idx="30">
                  <c:v>0.9998849947876105</c:v>
                </c:pt>
                <c:pt idx="31">
                  <c:v>1.0002350639153166</c:v>
                </c:pt>
                <c:pt idx="32">
                  <c:v>1.0005851330430227</c:v>
                </c:pt>
                <c:pt idx="33">
                  <c:v>1.0009352021707287</c:v>
                </c:pt>
                <c:pt idx="34">
                  <c:v>1.0012852712984348</c:v>
                </c:pt>
                <c:pt idx="35">
                  <c:v>1.0016353404261411</c:v>
                </c:pt>
                <c:pt idx="36">
                  <c:v>1.0019854095538472</c:v>
                </c:pt>
                <c:pt idx="37">
                  <c:v>1.0023354786815533</c:v>
                </c:pt>
                <c:pt idx="38">
                  <c:v>1.0026855478092593</c:v>
                </c:pt>
                <c:pt idx="39">
                  <c:v>1.0030356169369654</c:v>
                </c:pt>
                <c:pt idx="40">
                  <c:v>1.0033856860646715</c:v>
                </c:pt>
                <c:pt idx="41">
                  <c:v>1.0037357551923776</c:v>
                </c:pt>
                <c:pt idx="42">
                  <c:v>1.0040858243200836</c:v>
                </c:pt>
                <c:pt idx="43">
                  <c:v>1.0044358934477899</c:v>
                </c:pt>
                <c:pt idx="44">
                  <c:v>1.004785962575496</c:v>
                </c:pt>
                <c:pt idx="45">
                  <c:v>1.0051360317032021</c:v>
                </c:pt>
                <c:pt idx="46">
                  <c:v>1.0054861008309082</c:v>
                </c:pt>
                <c:pt idx="47">
                  <c:v>1.0058361699586142</c:v>
                </c:pt>
                <c:pt idx="48">
                  <c:v>1.0061862390863203</c:v>
                </c:pt>
                <c:pt idx="49">
                  <c:v>1.0065363082140264</c:v>
                </c:pt>
                <c:pt idx="50">
                  <c:v>1.0068863773417325</c:v>
                </c:pt>
                <c:pt idx="51">
                  <c:v>1.0072364464694388</c:v>
                </c:pt>
                <c:pt idx="52">
                  <c:v>1.0075865155971448</c:v>
                </c:pt>
                <c:pt idx="53">
                  <c:v>1.0079365847248509</c:v>
                </c:pt>
                <c:pt idx="54">
                  <c:v>1.008286653852557</c:v>
                </c:pt>
                <c:pt idx="55">
                  <c:v>1.0086367229802631</c:v>
                </c:pt>
                <c:pt idx="56">
                  <c:v>1.0089867921079692</c:v>
                </c:pt>
                <c:pt idx="57">
                  <c:v>1.0093368612356752</c:v>
                </c:pt>
                <c:pt idx="58">
                  <c:v>1.0096869303633815</c:v>
                </c:pt>
                <c:pt idx="59">
                  <c:v>1.0100369994910876</c:v>
                </c:pt>
                <c:pt idx="60">
                  <c:v>1.0103870686187937</c:v>
                </c:pt>
              </c:numCache>
            </c:numRef>
          </c:xVal>
          <c:yVal>
            <c:numRef>
              <c:f>'CGL4f4n (2)'!$AA$14:$AA$76</c:f>
              <c:numCache>
                <c:formatCode>0.00E+00</c:formatCode>
                <c:ptCount val="63"/>
                <c:pt idx="0">
                  <c:v>1.26599236013148</c:v>
                </c:pt>
                <c:pt idx="1">
                  <c:v>1.7003877087879993</c:v>
                </c:pt>
                <c:pt idx="2">
                  <c:v>2.2611110082307047</c:v>
                </c:pt>
                <c:pt idx="3">
                  <c:v>2.9768220016165161</c:v>
                </c:pt>
                <c:pt idx="4">
                  <c:v>3.8800820062857775</c:v>
                </c:pt>
                <c:pt idx="5">
                  <c:v>5.0070969149511741</c:v>
                </c:pt>
                <c:pt idx="6">
                  <c:v>6.3971737358239311</c:v>
                </c:pt>
                <c:pt idx="7">
                  <c:v>8.0918411535512931</c:v>
                </c:pt>
                <c:pt idx="8">
                  <c:v>10.133596492409001</c:v>
                </c:pt>
                <c:pt idx="9">
                  <c:v>12.564260170166641</c:v>
                </c:pt>
                <c:pt idx="10">
                  <c:v>15.42294428159782</c:v>
                </c:pt>
                <c:pt idx="11">
                  <c:v>18.743673629444519</c:v>
                </c:pt>
                <c:pt idx="12">
                  <c:v>22.552733746683842</c:v>
                </c:pt>
                <c:pt idx="13">
                  <c:v>26.86585875000258</c:v>
                </c:pt>
                <c:pt idx="14">
                  <c:v>31.685408938024821</c:v>
                </c:pt>
                <c:pt idx="15">
                  <c:v>36.99771999735573</c:v>
                </c:pt>
                <c:pt idx="16">
                  <c:v>42.77082832664118</c:v>
                </c:pt>
                <c:pt idx="17">
                  <c:v>48.952786317015445</c:v>
                </c:pt>
                <c:pt idx="18">
                  <c:v>55.470774088436393</c:v>
                </c:pt>
                <c:pt idx="19">
                  <c:v>62.231188011370008</c:v>
                </c:pt>
                <c:pt idx="20">
                  <c:v>69.120840819271137</c:v>
                </c:pt>
                <c:pt idx="21">
                  <c:v>76.009344680672655</c:v>
                </c:pt>
                <c:pt idx="22">
                  <c:v>82.752670782408885</c:v>
                </c:pt>
                <c:pt idx="23">
                  <c:v>89.197792279731758</c:v>
                </c:pt>
                <c:pt idx="24">
                  <c:v>95.188228986463869</c:v>
                </c:pt>
                <c:pt idx="25">
                  <c:v>100.57022996322969</c:v>
                </c:pt>
                <c:pt idx="26">
                  <c:v>105.19926241896425</c:v>
                </c:pt>
                <c:pt idx="27">
                  <c:v>108.94642951226265</c:v>
                </c:pt>
                <c:pt idx="28">
                  <c:v>111.70442150607239</c:v>
                </c:pt>
                <c:pt idx="29">
                  <c:v>113.39261764615492</c:v>
                </c:pt>
                <c:pt idx="30">
                  <c:v>113.96100050740829</c:v>
                </c:pt>
                <c:pt idx="31">
                  <c:v>113.39261764615492</c:v>
                </c:pt>
                <c:pt idx="32">
                  <c:v>111.70442150607239</c:v>
                </c:pt>
                <c:pt idx="33">
                  <c:v>108.94642951226369</c:v>
                </c:pt>
                <c:pt idx="34">
                  <c:v>105.19926241896559</c:v>
                </c:pt>
                <c:pt idx="35">
                  <c:v>100.57022996322807</c:v>
                </c:pt>
                <c:pt idx="36">
                  <c:v>95.18822898646205</c:v>
                </c:pt>
                <c:pt idx="37">
                  <c:v>89.197792279731758</c:v>
                </c:pt>
                <c:pt idx="38">
                  <c:v>82.752670782408885</c:v>
                </c:pt>
                <c:pt idx="39">
                  <c:v>76.009344680672655</c:v>
                </c:pt>
                <c:pt idx="40">
                  <c:v>69.120840819271137</c:v>
                </c:pt>
                <c:pt idx="41">
                  <c:v>62.23118801137219</c:v>
                </c:pt>
                <c:pt idx="42">
                  <c:v>55.47077408843851</c:v>
                </c:pt>
                <c:pt idx="43">
                  <c:v>48.952786317013427</c:v>
                </c:pt>
                <c:pt idx="44">
                  <c:v>42.770828326639275</c:v>
                </c:pt>
                <c:pt idx="45">
                  <c:v>36.99771999735573</c:v>
                </c:pt>
                <c:pt idx="46">
                  <c:v>31.685408938024821</c:v>
                </c:pt>
                <c:pt idx="47">
                  <c:v>26.86585875000258</c:v>
                </c:pt>
                <c:pt idx="48">
                  <c:v>22.552733746683842</c:v>
                </c:pt>
                <c:pt idx="49">
                  <c:v>18.743673629445638</c:v>
                </c:pt>
                <c:pt idx="50">
                  <c:v>15.422944281598792</c:v>
                </c:pt>
                <c:pt idx="51">
                  <c:v>12.564260170165801</c:v>
                </c:pt>
                <c:pt idx="52">
                  <c:v>10.1335964924083</c:v>
                </c:pt>
                <c:pt idx="53">
                  <c:v>8.0918411535512931</c:v>
                </c:pt>
                <c:pt idx="54">
                  <c:v>6.3971737358239311</c:v>
                </c:pt>
                <c:pt idx="55">
                  <c:v>5.0070969149511741</c:v>
                </c:pt>
                <c:pt idx="56">
                  <c:v>3.8800820062857775</c:v>
                </c:pt>
                <c:pt idx="57">
                  <c:v>2.9768220016167684</c:v>
                </c:pt>
                <c:pt idx="58">
                  <c:v>2.2611110082305022</c:v>
                </c:pt>
                <c:pt idx="59">
                  <c:v>1.7003877087878423</c:v>
                </c:pt>
                <c:pt idx="60">
                  <c:v>1.2659923601313585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37-4B10-8303-36CB2E76B0A7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A37-4B10-8303-36CB2E76B0A7}"/>
              </c:ext>
            </c:extLst>
          </c:dPt>
          <c:xVal>
            <c:numRef>
              <c:f>'CGL4f4n (2)'!$T$8:$U$8</c:f>
              <c:numCache>
                <c:formatCode>General</c:formatCode>
                <c:ptCount val="2"/>
                <c:pt idx="0" formatCode="0%">
                  <c:v>0.98</c:v>
                </c:pt>
                <c:pt idx="1">
                  <c:v>0.98</c:v>
                </c:pt>
              </c:numCache>
            </c:numRef>
          </c:xVal>
          <c:yVal>
            <c:numRef>
              <c:f>'CGL4f4n (2)'!$V$8:$W$8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113.96100050740829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37-4B10-8303-36CB2E76B0A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A37-4B10-8303-36CB2E76B0A7}"/>
              </c:ext>
            </c:extLst>
          </c:dPt>
          <c:xVal>
            <c:numRef>
              <c:f>'CGL4f4n (2)'!$T$9:$U$9</c:f>
              <c:numCache>
                <c:formatCode>General</c:formatCode>
                <c:ptCount val="2"/>
                <c:pt idx="0" formatCode="0%">
                  <c:v>1.02</c:v>
                </c:pt>
                <c:pt idx="1">
                  <c:v>1.02</c:v>
                </c:pt>
              </c:numCache>
            </c:numRef>
          </c:xVal>
          <c:yVal>
            <c:numRef>
              <c:f>'CGL4f4n (2)'!$V$9:$W$9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113.96100050740829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A37-4B10-8303-36CB2E76B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05312"/>
        <c:axId val="259805856"/>
      </c:scatterChart>
      <c:valAx>
        <c:axId val="25980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805856"/>
        <c:crosses val="autoZero"/>
        <c:crossBetween val="midCat"/>
      </c:valAx>
      <c:valAx>
        <c:axId val="259805856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80531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risque 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'CGL4f4n (2)'!$E$43:$E$52</c:f>
              <c:strCache>
                <c:ptCount val="10"/>
                <c:pt idx="0">
                  <c:v>niveau</c:v>
                </c:pt>
                <c:pt idx="1">
                  <c:v>échantillon (4 éch)</c:v>
                </c:pt>
                <c:pt idx="2">
                  <c:v>jour (4j)</c:v>
                </c:pt>
                <c:pt idx="3">
                  <c:v>pression</c:v>
                </c:pt>
                <c:pt idx="4">
                  <c:v>température</c:v>
                </c:pt>
                <c:pt idx="5">
                  <c:v>tps</c:v>
                </c:pt>
                <c:pt idx="6">
                  <c:v>lot</c:v>
                </c:pt>
                <c:pt idx="7">
                  <c:v>solvant</c:v>
                </c:pt>
                <c:pt idx="8">
                  <c:v>débit</c:v>
                </c:pt>
                <c:pt idx="9">
                  <c:v>lg d'onde</c:v>
                </c:pt>
              </c:strCache>
            </c:strRef>
          </c:cat>
          <c:val>
            <c:numRef>
              <c:f>'CGL4f4n (2)'!$O$43:$O$52</c:f>
              <c:numCache>
                <c:formatCode>0.00%</c:formatCode>
                <c:ptCount val="10"/>
                <c:pt idx="0">
                  <c:v>0.99881365014413015</c:v>
                </c:pt>
                <c:pt idx="1">
                  <c:v>0.83492853558181856</c:v>
                </c:pt>
                <c:pt idx="2">
                  <c:v>0.99355062897602275</c:v>
                </c:pt>
                <c:pt idx="3">
                  <c:v>0.9999999999998832</c:v>
                </c:pt>
                <c:pt idx="4">
                  <c:v>0.94621268384259882</c:v>
                </c:pt>
                <c:pt idx="5">
                  <c:v>0.99988965073854075</c:v>
                </c:pt>
                <c:pt idx="6">
                  <c:v>0.84946855934623355</c:v>
                </c:pt>
                <c:pt idx="7">
                  <c:v>0.9999676494906784</c:v>
                </c:pt>
                <c:pt idx="8">
                  <c:v>0.82948982879072841</c:v>
                </c:pt>
                <c:pt idx="9" formatCode="0%">
                  <c:v>0.97393241534086761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7-4CC3-AC82-4BECD94CC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803136"/>
        <c:axId val="259806944"/>
      </c:barChart>
      <c:catAx>
        <c:axId val="25980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9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806944"/>
        <c:crosses val="autoZero"/>
        <c:auto val="1"/>
        <c:lblAlgn val="ctr"/>
        <c:lblOffset val="100"/>
        <c:noMultiLvlLbl val="0"/>
      </c:catAx>
      <c:valAx>
        <c:axId val="25980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80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74999999999998"/>
          <c:y val="2.8619528619528625E-2"/>
          <c:w val="0.85625000000000007"/>
          <c:h val="0.91919191919191923"/>
        </c:manualLayout>
      </c:layout>
      <c:scatterChart>
        <c:scatterStyle val="lineMarker"/>
        <c:varyColors val="0"/>
        <c:ser>
          <c:idx val="0"/>
          <c:order val="0"/>
          <c:tx>
            <c:strRef>
              <c:f>Récapitulatif!$B$17</c:f>
              <c:strCache>
                <c:ptCount val="1"/>
                <c:pt idx="0">
                  <c:v>Recouvrement (justesse)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Récapitulatif!$C$17:$G$17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E9-402D-A7ED-098E8336F13F}"/>
            </c:ext>
          </c:extLst>
        </c:ser>
        <c:ser>
          <c:idx val="1"/>
          <c:order val="1"/>
          <c:tx>
            <c:strRef>
              <c:f>Récapitulatif!$B$18</c:f>
              <c:strCache>
                <c:ptCount val="1"/>
                <c:pt idx="0">
                  <c:v>Limite basse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Récapitulatif!$C$18:$G$18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E9-402D-A7ED-098E8336F13F}"/>
            </c:ext>
          </c:extLst>
        </c:ser>
        <c:ser>
          <c:idx val="2"/>
          <c:order val="2"/>
          <c:tx>
            <c:strRef>
              <c:f>Récapitulatif!$B$19</c:f>
              <c:strCache>
                <c:ptCount val="1"/>
                <c:pt idx="0">
                  <c:v>Limite haute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Récapitulatif!$C$19:$G$19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E9-402D-A7ED-098E8336F13F}"/>
            </c:ext>
          </c:extLst>
        </c:ser>
        <c:ser>
          <c:idx val="3"/>
          <c:order val="3"/>
          <c:tx>
            <c:strRef>
              <c:f>Récapitulatif!$B$20</c:f>
              <c:strCache>
                <c:ptCount val="1"/>
                <c:pt idx="0">
                  <c:v>Limite d'acceptabilité basse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Récapitulatif!$C$20:$G$20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E9-402D-A7ED-098E8336F13F}"/>
            </c:ext>
          </c:extLst>
        </c:ser>
        <c:ser>
          <c:idx val="4"/>
          <c:order val="4"/>
          <c:tx>
            <c:strRef>
              <c:f>Récapitulatif!$B$21</c:f>
              <c:strCache>
                <c:ptCount val="1"/>
                <c:pt idx="0">
                  <c:v>Limite d'acceptabilité haute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Récapitulatif!$C$21:$G$21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E9-402D-A7ED-098E8336F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793344"/>
        <c:axId val="259794976"/>
      </c:scatterChart>
      <c:valAx>
        <c:axId val="259793344"/>
        <c:scaling>
          <c:orientation val="minMax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Niveaux</a:t>
                </a:r>
              </a:p>
            </c:rich>
          </c:tx>
          <c:layout>
            <c:manualLayout>
              <c:xMode val="edge"/>
              <c:yMode val="edge"/>
              <c:x val="0.86875000000000013"/>
              <c:y val="0.922558922558922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259794976"/>
        <c:crossesAt val="1"/>
        <c:crossBetween val="midCat"/>
      </c:valAx>
      <c:valAx>
        <c:axId val="259794976"/>
        <c:scaling>
          <c:orientation val="minMax"/>
          <c:max val="1.2"/>
          <c:min val="0.8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Exactitude (%)</a:t>
                </a:r>
              </a:p>
            </c:rich>
          </c:tx>
          <c:layout>
            <c:manualLayout>
              <c:xMode val="edge"/>
              <c:yMode val="edge"/>
              <c:x val="0"/>
              <c:y val="0.326555995357196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25979334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249218583788484"/>
          <c:y val="0.74578482160133208"/>
          <c:w val="0.61770833333333341"/>
          <c:h val="0.124579124579124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theme="4" tint="0.59999389629810485"/>
  </sheetPr>
  <sheetViews>
    <sheetView zoomScale="55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464706</xdr:colOff>
      <xdr:row>19</xdr:row>
      <xdr:rowOff>69273</xdr:rowOff>
    </xdr:from>
    <xdr:to>
      <xdr:col>14</xdr:col>
      <xdr:colOff>99580</xdr:colOff>
      <xdr:row>34</xdr:row>
      <xdr:rowOff>147783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24535</xdr:colOff>
      <xdr:row>19</xdr:row>
      <xdr:rowOff>60101</xdr:rowOff>
    </xdr:from>
    <xdr:to>
      <xdr:col>7</xdr:col>
      <xdr:colOff>401619</xdr:colOff>
      <xdr:row>34</xdr:row>
      <xdr:rowOff>138546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161636</xdr:colOff>
      <xdr:row>19</xdr:row>
      <xdr:rowOff>57727</xdr:rowOff>
    </xdr:from>
    <xdr:to>
      <xdr:col>20</xdr:col>
      <xdr:colOff>701388</xdr:colOff>
      <xdr:row>34</xdr:row>
      <xdr:rowOff>127000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464706</xdr:colOff>
      <xdr:row>19</xdr:row>
      <xdr:rowOff>69273</xdr:rowOff>
    </xdr:from>
    <xdr:to>
      <xdr:col>14</xdr:col>
      <xdr:colOff>99580</xdr:colOff>
      <xdr:row>34</xdr:row>
      <xdr:rowOff>147783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18F29C0-92E3-4DB4-93BC-86C75F8BA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24535</xdr:colOff>
      <xdr:row>19</xdr:row>
      <xdr:rowOff>60101</xdr:rowOff>
    </xdr:from>
    <xdr:to>
      <xdr:col>7</xdr:col>
      <xdr:colOff>401619</xdr:colOff>
      <xdr:row>34</xdr:row>
      <xdr:rowOff>138546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8891B61-7EC0-4D6C-BA84-62992DC95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161636</xdr:colOff>
      <xdr:row>19</xdr:row>
      <xdr:rowOff>57727</xdr:rowOff>
    </xdr:from>
    <xdr:to>
      <xdr:col>20</xdr:col>
      <xdr:colOff>701388</xdr:colOff>
      <xdr:row>34</xdr:row>
      <xdr:rowOff>127000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142BFBC-9CDD-4090-A572-11978B8C9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9525</xdr:rowOff>
    </xdr:from>
    <xdr:to>
      <xdr:col>7</xdr:col>
      <xdr:colOff>0</xdr:colOff>
      <xdr:row>25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260725"/>
          <a:ext cx="74009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Les données qui servent à construire le graphique du profil sont en bleu. </a:t>
          </a:r>
        </a:p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Il convient de modifier le graphique en fonction du nombre de niveaux en sélectionnant la zone correcte de données par la commande &lt;Données du graphique…&gt;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55545" cy="564572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S636"/>
  <sheetViews>
    <sheetView showGridLines="0" topLeftCell="B27" zoomScale="60" zoomScaleNormal="60" workbookViewId="0">
      <selection activeCell="C67" sqref="C67"/>
    </sheetView>
  </sheetViews>
  <sheetFormatPr baseColWidth="10" defaultColWidth="10.85546875" defaultRowHeight="15" x14ac:dyDescent="0.25"/>
  <cols>
    <col min="1" max="1" width="5.5703125" style="38" customWidth="1"/>
    <col min="2" max="11" width="10.85546875" style="38"/>
    <col min="12" max="12" width="11.140625" style="38" bestFit="1" customWidth="1"/>
    <col min="13" max="13" width="14.7109375" style="38" bestFit="1" customWidth="1"/>
    <col min="14" max="14" width="11" style="38" customWidth="1"/>
    <col min="15" max="15" width="10.5703125" style="38" customWidth="1"/>
    <col min="16" max="16" width="10.85546875" style="38"/>
    <col min="17" max="17" width="8.85546875" style="38" customWidth="1"/>
    <col min="18" max="18" width="9.42578125" style="38" customWidth="1"/>
    <col min="19" max="19" width="11.42578125" style="38" customWidth="1"/>
    <col min="20" max="16384" width="10.85546875" style="38"/>
  </cols>
  <sheetData>
    <row r="1" spans="2:45" ht="15.75" thickBot="1" x14ac:dyDescent="0.3"/>
    <row r="2" spans="2:45" x14ac:dyDescent="0.25">
      <c r="B2" s="39"/>
      <c r="C2" s="40"/>
      <c r="D2" s="40"/>
      <c r="E2" s="40"/>
      <c r="F2" s="192"/>
      <c r="G2" s="192"/>
      <c r="H2" s="192"/>
      <c r="I2" s="92"/>
      <c r="J2" s="92"/>
      <c r="K2" s="92"/>
      <c r="L2" s="92"/>
      <c r="M2" s="92"/>
      <c r="N2" s="92"/>
      <c r="O2" s="92"/>
      <c r="P2" s="40"/>
      <c r="Q2" s="40"/>
      <c r="R2" s="40"/>
      <c r="S2" s="40"/>
      <c r="T2" s="40"/>
      <c r="U2" s="41"/>
    </row>
    <row r="3" spans="2:45" x14ac:dyDescent="0.25">
      <c r="B3" s="42"/>
      <c r="C3" s="43"/>
      <c r="D3" s="43"/>
      <c r="E3" s="43"/>
      <c r="F3" s="95"/>
      <c r="G3" s="52" t="s">
        <v>73</v>
      </c>
      <c r="H3" s="52" t="s">
        <v>74</v>
      </c>
      <c r="I3" s="52" t="s">
        <v>75</v>
      </c>
      <c r="J3" s="52" t="s">
        <v>76</v>
      </c>
      <c r="K3" s="112" t="s">
        <v>78</v>
      </c>
      <c r="L3" s="112" t="s">
        <v>79</v>
      </c>
      <c r="M3" s="112" t="s">
        <v>80</v>
      </c>
      <c r="N3" s="93" t="s">
        <v>92</v>
      </c>
      <c r="O3" s="93"/>
      <c r="P3" s="43"/>
      <c r="Q3" s="43"/>
      <c r="R3" s="43"/>
      <c r="S3" s="43"/>
      <c r="T3" s="43"/>
      <c r="U3" s="44"/>
    </row>
    <row r="4" spans="2:45" x14ac:dyDescent="0.25">
      <c r="B4" s="42"/>
      <c r="C4" s="43"/>
      <c r="D4" s="43"/>
      <c r="E4" s="43"/>
      <c r="F4" s="94">
        <v>-1</v>
      </c>
      <c r="G4" s="47" t="s">
        <v>85</v>
      </c>
      <c r="H4" s="47" t="s">
        <v>87</v>
      </c>
      <c r="I4" s="47">
        <v>24</v>
      </c>
      <c r="J4" s="47" t="s">
        <v>70</v>
      </c>
      <c r="K4" s="47" t="s">
        <v>89</v>
      </c>
      <c r="L4" s="47">
        <v>274</v>
      </c>
      <c r="M4" s="47" t="s">
        <v>89</v>
      </c>
      <c r="N4" s="93" t="s">
        <v>93</v>
      </c>
      <c r="O4" s="93"/>
      <c r="P4" s="43"/>
      <c r="Q4" s="43"/>
      <c r="R4" s="43"/>
      <c r="S4" s="43"/>
      <c r="T4" s="43"/>
      <c r="U4" s="44"/>
    </row>
    <row r="5" spans="2:45" x14ac:dyDescent="0.25">
      <c r="B5" s="42"/>
      <c r="C5" s="43"/>
      <c r="D5" s="43"/>
      <c r="E5" s="43"/>
      <c r="F5" s="94">
        <v>1</v>
      </c>
      <c r="G5" s="47" t="s">
        <v>86</v>
      </c>
      <c r="H5" s="47" t="s">
        <v>88</v>
      </c>
      <c r="I5" s="47">
        <v>26</v>
      </c>
      <c r="J5" s="47" t="s">
        <v>71</v>
      </c>
      <c r="K5" s="47" t="s">
        <v>90</v>
      </c>
      <c r="L5" s="47">
        <v>276</v>
      </c>
      <c r="M5" s="47" t="s">
        <v>90</v>
      </c>
      <c r="N5" s="93"/>
      <c r="O5" s="93"/>
      <c r="P5" s="43"/>
      <c r="Q5" s="43"/>
      <c r="R5" s="43"/>
      <c r="S5" s="43"/>
      <c r="T5" s="43"/>
      <c r="U5" s="44"/>
    </row>
    <row r="6" spans="2:45" x14ac:dyDescent="0.25">
      <c r="B6" s="42"/>
      <c r="C6" s="43"/>
      <c r="D6" s="43"/>
      <c r="E6" s="43"/>
      <c r="F6" s="95"/>
      <c r="G6" s="93"/>
      <c r="H6" s="93"/>
      <c r="I6" s="93"/>
      <c r="J6" s="93"/>
      <c r="K6" s="93"/>
      <c r="L6" s="97"/>
      <c r="M6" s="97"/>
      <c r="N6" s="97"/>
      <c r="O6" s="97"/>
      <c r="P6" s="43"/>
      <c r="Q6" s="43"/>
      <c r="R6" s="43"/>
      <c r="S6" s="43"/>
      <c r="T6" s="43"/>
      <c r="U6" s="44"/>
      <c r="Y6" s="51"/>
      <c r="Z6" s="51"/>
      <c r="AA6" s="51"/>
      <c r="AB6" s="51"/>
      <c r="AC6" s="51"/>
      <c r="AD6" s="51"/>
      <c r="AE6" s="51"/>
      <c r="AF6" s="51"/>
      <c r="AG6" s="51"/>
    </row>
    <row r="7" spans="2:45" x14ac:dyDescent="0.25">
      <c r="B7" s="42"/>
      <c r="C7" s="88" t="s">
        <v>67</v>
      </c>
      <c r="D7" s="89" t="s">
        <v>62</v>
      </c>
      <c r="E7" s="89"/>
      <c r="G7" s="197" t="s">
        <v>77</v>
      </c>
      <c r="H7" s="198"/>
      <c r="I7" s="198"/>
      <c r="J7" s="198"/>
      <c r="K7" s="198"/>
      <c r="L7" s="198"/>
      <c r="M7" s="199"/>
      <c r="N7" s="197" t="s">
        <v>67</v>
      </c>
      <c r="O7" s="198"/>
      <c r="P7" s="198"/>
      <c r="Q7" s="199"/>
      <c r="R7" s="43"/>
      <c r="S7" s="43"/>
      <c r="T7" s="43"/>
      <c r="U7" s="44"/>
      <c r="Y7" s="51"/>
      <c r="Z7" s="51"/>
      <c r="AA7" s="51"/>
      <c r="AB7" s="51"/>
      <c r="AC7" s="51"/>
      <c r="AD7" s="51"/>
      <c r="AE7" s="51"/>
      <c r="AF7" s="51"/>
      <c r="AG7" s="51"/>
    </row>
    <row r="8" spans="2:45" x14ac:dyDescent="0.25">
      <c r="B8" s="42"/>
      <c r="C8" s="105" t="s">
        <v>61</v>
      </c>
      <c r="D8" s="103" t="s">
        <v>13</v>
      </c>
      <c r="E8" s="103"/>
      <c r="G8" s="113" t="str">
        <f>G3</f>
        <v>débit</v>
      </c>
      <c r="H8" s="113" t="str">
        <f t="shared" ref="H8:M8" si="0">H3</f>
        <v>pression</v>
      </c>
      <c r="I8" s="113" t="str">
        <f t="shared" si="0"/>
        <v>T°C</v>
      </c>
      <c r="J8" s="113" t="str">
        <f t="shared" si="0"/>
        <v>colonne</v>
      </c>
      <c r="K8" s="113" t="str">
        <f t="shared" si="0"/>
        <v>gaz</v>
      </c>
      <c r="L8" s="113" t="str">
        <f t="shared" si="0"/>
        <v>lg onde</v>
      </c>
      <c r="M8" s="113" t="str">
        <f t="shared" si="0"/>
        <v>alcool</v>
      </c>
      <c r="N8" s="150" t="s">
        <v>95</v>
      </c>
      <c r="O8" s="150" t="s">
        <v>96</v>
      </c>
      <c r="P8" s="150" t="s">
        <v>97</v>
      </c>
      <c r="Q8" s="151" t="s">
        <v>98</v>
      </c>
      <c r="R8" s="43"/>
      <c r="S8" s="85" t="s">
        <v>16</v>
      </c>
      <c r="T8" s="47">
        <v>199</v>
      </c>
      <c r="U8" s="48">
        <f>+T8</f>
        <v>199</v>
      </c>
      <c r="V8" s="49">
        <v>0</v>
      </c>
      <c r="W8" s="50">
        <f ca="1">AA44</f>
        <v>0.64620853403273382</v>
      </c>
      <c r="X8" s="51"/>
      <c r="Y8" s="51"/>
      <c r="Z8" s="51"/>
      <c r="AA8" s="51"/>
      <c r="AB8" s="51"/>
      <c r="AC8" s="51"/>
      <c r="AD8" s="51"/>
      <c r="AE8" s="51"/>
      <c r="AF8" s="51"/>
      <c r="AG8" s="51"/>
    </row>
    <row r="9" spans="2:45" x14ac:dyDescent="0.25">
      <c r="B9" s="42"/>
      <c r="C9" s="43"/>
      <c r="D9" s="104" t="s">
        <v>68</v>
      </c>
      <c r="E9" s="104"/>
      <c r="G9" s="114">
        <v>1</v>
      </c>
      <c r="H9" s="114">
        <v>1</v>
      </c>
      <c r="I9" s="114">
        <v>1</v>
      </c>
      <c r="J9" s="85">
        <v>-1</v>
      </c>
      <c r="K9" s="114">
        <v>1</v>
      </c>
      <c r="L9" s="85">
        <v>-1</v>
      </c>
      <c r="M9" s="115">
        <v>-1</v>
      </c>
      <c r="N9" s="116">
        <f ca="1">201+RAND()</f>
        <v>201.31786289979297</v>
      </c>
      <c r="O9" s="117">
        <f t="shared" ref="O9:Q16" ca="1" si="1">200+RAND()</f>
        <v>200.6218485108281</v>
      </c>
      <c r="P9" s="118">
        <f t="shared" ca="1" si="1"/>
        <v>200.39460956633437</v>
      </c>
      <c r="Q9" s="119">
        <f ca="1">201+RAND()</f>
        <v>201.476137163597</v>
      </c>
      <c r="R9" s="106">
        <f ca="1">SUM(N9:Q9)</f>
        <v>803.81045814055233</v>
      </c>
      <c r="S9" s="85" t="s">
        <v>15</v>
      </c>
      <c r="T9" s="52">
        <v>202</v>
      </c>
      <c r="U9" s="48">
        <f>+T9</f>
        <v>202</v>
      </c>
      <c r="V9" s="49">
        <v>0</v>
      </c>
      <c r="W9" s="50">
        <f ca="1">W8</f>
        <v>0.64620853403273382</v>
      </c>
      <c r="X9" s="51"/>
      <c r="Y9" s="51"/>
      <c r="Z9" s="51"/>
      <c r="AA9" s="51"/>
      <c r="AB9" s="51"/>
      <c r="AC9" s="51"/>
      <c r="AD9" s="51"/>
      <c r="AE9" s="51"/>
      <c r="AF9" s="51"/>
      <c r="AG9" s="51"/>
    </row>
    <row r="10" spans="2:45" x14ac:dyDescent="0.25">
      <c r="B10" s="42"/>
      <c r="D10" s="98" t="s">
        <v>82</v>
      </c>
      <c r="E10" s="98"/>
      <c r="G10" s="85">
        <v>-1</v>
      </c>
      <c r="H10" s="114">
        <v>1</v>
      </c>
      <c r="I10" s="114">
        <v>1</v>
      </c>
      <c r="J10" s="114">
        <v>1</v>
      </c>
      <c r="K10" s="85">
        <v>-1</v>
      </c>
      <c r="L10" s="114">
        <v>1</v>
      </c>
      <c r="M10" s="91">
        <v>-1</v>
      </c>
      <c r="N10" s="120">
        <f t="shared" ref="N10:N16" ca="1" si="2">200+RAND()</f>
        <v>200.0010611497658</v>
      </c>
      <c r="O10" s="121">
        <f ca="1">201+RAND()</f>
        <v>201.83046316859642</v>
      </c>
      <c r="P10" s="122">
        <f ca="1">201+RAND()</f>
        <v>201.8430537058164</v>
      </c>
      <c r="Q10" s="123">
        <f t="shared" ca="1" si="1"/>
        <v>200.17103828385223</v>
      </c>
      <c r="R10" s="106">
        <f t="shared" ref="R10:R16" ca="1" si="3">SUM(N10:Q10)</f>
        <v>803.8456163080308</v>
      </c>
      <c r="S10" s="43"/>
      <c r="T10" s="53"/>
      <c r="U10" s="54"/>
      <c r="W10" s="51"/>
      <c r="X10" s="49"/>
      <c r="Y10" s="55"/>
      <c r="Z10" s="193"/>
      <c r="AA10" s="193"/>
      <c r="AB10" s="49"/>
      <c r="AC10" s="49"/>
      <c r="AD10" s="49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</row>
    <row r="11" spans="2:45" x14ac:dyDescent="0.25">
      <c r="B11" s="42"/>
      <c r="C11" s="43"/>
      <c r="D11" s="84" t="s">
        <v>83</v>
      </c>
      <c r="E11" s="84"/>
      <c r="G11" s="85">
        <v>-1</v>
      </c>
      <c r="H11" s="85">
        <v>-1</v>
      </c>
      <c r="I11" s="114">
        <v>1</v>
      </c>
      <c r="J11" s="114">
        <v>1</v>
      </c>
      <c r="K11" s="114">
        <v>1</v>
      </c>
      <c r="L11" s="85">
        <v>-1</v>
      </c>
      <c r="M11" s="124">
        <v>1</v>
      </c>
      <c r="N11" s="125">
        <f t="shared" ca="1" si="2"/>
        <v>200.16602585661482</v>
      </c>
      <c r="O11" s="126">
        <f ca="1">201+RAND()</f>
        <v>201.82910638280217</v>
      </c>
      <c r="P11" s="87">
        <f ca="1">201+RAND()</f>
        <v>201.40221238421316</v>
      </c>
      <c r="Q11" s="127">
        <f t="shared" ca="1" si="1"/>
        <v>200.45519527800627</v>
      </c>
      <c r="R11" s="106">
        <f t="shared" ca="1" si="3"/>
        <v>803.85253990163642</v>
      </c>
      <c r="S11" s="85" t="s">
        <v>17</v>
      </c>
      <c r="T11" s="56">
        <f ca="1">AVERAGE(N9:Q16)</f>
        <v>201.00133289129155</v>
      </c>
      <c r="U11" s="54"/>
      <c r="W11" s="51"/>
      <c r="X11" s="49"/>
      <c r="Y11" s="57"/>
      <c r="Z11" s="58"/>
      <c r="AA11" s="58"/>
      <c r="AB11" s="49"/>
      <c r="AC11" s="49"/>
      <c r="AD11" s="49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</row>
    <row r="12" spans="2:45" x14ac:dyDescent="0.25">
      <c r="B12" s="42"/>
      <c r="C12" s="43"/>
      <c r="D12" s="83" t="s">
        <v>69</v>
      </c>
      <c r="E12" s="83"/>
      <c r="G12" s="114">
        <v>1</v>
      </c>
      <c r="H12" s="85">
        <v>-1</v>
      </c>
      <c r="I12" s="85">
        <v>-1</v>
      </c>
      <c r="J12" s="114">
        <v>1</v>
      </c>
      <c r="K12" s="114">
        <v>1</v>
      </c>
      <c r="L12" s="114">
        <v>1</v>
      </c>
      <c r="M12" s="91">
        <v>-1</v>
      </c>
      <c r="N12" s="128">
        <f ca="1">201+RAND()</f>
        <v>201.65279145922574</v>
      </c>
      <c r="O12" s="129">
        <f t="shared" ca="1" si="1"/>
        <v>200.23558438861699</v>
      </c>
      <c r="P12" s="130">
        <f t="shared" ca="1" si="1"/>
        <v>200.72889128040319</v>
      </c>
      <c r="Q12" s="86">
        <f ca="1">201+RAND()</f>
        <v>201.72089058212578</v>
      </c>
      <c r="R12" s="106">
        <f t="shared" ca="1" si="3"/>
        <v>804.33815771037166</v>
      </c>
      <c r="S12" s="85" t="s">
        <v>64</v>
      </c>
      <c r="T12" s="56">
        <f ca="1">K40</f>
        <v>0.3811314203507864</v>
      </c>
      <c r="U12" s="54"/>
      <c r="V12" s="51"/>
      <c r="W12" s="51"/>
      <c r="X12" s="51"/>
      <c r="Y12" s="53"/>
      <c r="Z12" s="53"/>
      <c r="AA12" s="53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</row>
    <row r="13" spans="2:45" x14ac:dyDescent="0.25">
      <c r="B13" s="42"/>
      <c r="C13" s="105" t="s">
        <v>81</v>
      </c>
      <c r="D13" s="103" t="s">
        <v>84</v>
      </c>
      <c r="E13" s="103"/>
      <c r="G13" s="85">
        <v>-1</v>
      </c>
      <c r="H13" s="114">
        <v>1</v>
      </c>
      <c r="I13" s="85">
        <v>-1</v>
      </c>
      <c r="J13" s="85">
        <v>-1</v>
      </c>
      <c r="K13" s="114">
        <v>1</v>
      </c>
      <c r="L13" s="114">
        <v>1</v>
      </c>
      <c r="M13" s="124">
        <v>1</v>
      </c>
      <c r="N13" s="131">
        <f t="shared" ca="1" si="2"/>
        <v>200.44918606017589</v>
      </c>
      <c r="O13" s="122">
        <f ca="1">201+RAND()</f>
        <v>201.00363120880763</v>
      </c>
      <c r="P13" s="121">
        <f ca="1">201+RAND()</f>
        <v>201.13959866378286</v>
      </c>
      <c r="Q13" s="132">
        <f t="shared" ca="1" si="1"/>
        <v>200.73781340031582</v>
      </c>
      <c r="R13" s="106">
        <f t="shared" ca="1" si="3"/>
        <v>803.33022933308212</v>
      </c>
      <c r="S13" s="45" t="s">
        <v>65</v>
      </c>
      <c r="T13" s="56">
        <f ca="1">SQRT(T12)</f>
        <v>0.61735842130061402</v>
      </c>
      <c r="U13" s="54"/>
      <c r="V13" s="51"/>
      <c r="W13" s="51"/>
      <c r="X13" s="51"/>
      <c r="Y13" s="49"/>
      <c r="Z13" s="49"/>
      <c r="AA13" s="49"/>
      <c r="AB13" s="49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</row>
    <row r="14" spans="2:45" x14ac:dyDescent="0.25">
      <c r="B14" s="42"/>
      <c r="C14" s="43"/>
      <c r="D14" s="99" t="s">
        <v>67</v>
      </c>
      <c r="E14" s="59"/>
      <c r="G14" s="114">
        <v>1</v>
      </c>
      <c r="H14" s="85">
        <v>-1</v>
      </c>
      <c r="I14" s="114">
        <v>1</v>
      </c>
      <c r="J14" s="85">
        <v>-1</v>
      </c>
      <c r="K14" s="85">
        <v>-1</v>
      </c>
      <c r="L14" s="114">
        <v>1</v>
      </c>
      <c r="M14" s="124">
        <v>1</v>
      </c>
      <c r="N14" s="119">
        <f ca="1">201+RAND()</f>
        <v>201.97110088950222</v>
      </c>
      <c r="O14" s="133">
        <f t="shared" ca="1" si="1"/>
        <v>200.52200750347401</v>
      </c>
      <c r="P14" s="117">
        <f t="shared" ca="1" si="1"/>
        <v>200.09897302642142</v>
      </c>
      <c r="Q14" s="134">
        <f ca="1">201+RAND()</f>
        <v>201.27864728649649</v>
      </c>
      <c r="R14" s="106">
        <f t="shared" ca="1" si="3"/>
        <v>803.87072870589418</v>
      </c>
      <c r="S14" s="45" t="s">
        <v>18</v>
      </c>
      <c r="T14" s="63">
        <f ca="1">MIN(N9:Q16)</f>
        <v>200.0010611497658</v>
      </c>
      <c r="U14" s="54"/>
      <c r="V14" s="51"/>
      <c r="W14" s="51"/>
      <c r="X14" s="51"/>
      <c r="Y14" s="60">
        <v>-3</v>
      </c>
      <c r="Z14" s="61">
        <f t="shared" ref="Z14:Z45" ca="1" si="4">T$11+Y14*SQRT(T$12)</f>
        <v>199.14925762738972</v>
      </c>
      <c r="AA14" s="62">
        <f t="shared" ref="AA14:AA45" ca="1" si="5">NORMDIST(Z14,T$11,SQRT(T$12),0)</f>
        <v>7.1787283675524109E-3</v>
      </c>
      <c r="AB14" s="49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</row>
    <row r="15" spans="2:45" x14ac:dyDescent="0.25">
      <c r="B15" s="42"/>
      <c r="C15" s="43"/>
      <c r="D15" s="100" t="s">
        <v>67</v>
      </c>
      <c r="E15" s="59"/>
      <c r="G15" s="114">
        <v>1</v>
      </c>
      <c r="H15" s="114">
        <v>1</v>
      </c>
      <c r="I15" s="85">
        <v>-1</v>
      </c>
      <c r="J15" s="114">
        <v>1</v>
      </c>
      <c r="K15" s="85">
        <v>-1</v>
      </c>
      <c r="L15" s="85">
        <v>-1</v>
      </c>
      <c r="M15" s="124">
        <v>1</v>
      </c>
      <c r="N15" s="86">
        <f ca="1">201+RAND()</f>
        <v>201.59445486728927</v>
      </c>
      <c r="O15" s="130">
        <f t="shared" ca="1" si="1"/>
        <v>200.95959864365346</v>
      </c>
      <c r="P15" s="135">
        <f t="shared" ca="1" si="1"/>
        <v>200.39422519291361</v>
      </c>
      <c r="Q15" s="128">
        <f ca="1">201+RAND()</f>
        <v>201.00999471348067</v>
      </c>
      <c r="R15" s="106">
        <f t="shared" ca="1" si="3"/>
        <v>803.95827341733695</v>
      </c>
      <c r="S15" s="45" t="s">
        <v>19</v>
      </c>
      <c r="T15" s="63">
        <f ca="1">MAX(N9:Q16)</f>
        <v>201.97110088950222</v>
      </c>
      <c r="U15" s="54"/>
      <c r="V15" s="51"/>
      <c r="W15" s="51"/>
      <c r="X15" s="51"/>
      <c r="Y15" s="60">
        <v>-2.9</v>
      </c>
      <c r="Z15" s="61">
        <f t="shared" ca="1" si="4"/>
        <v>199.21099346951976</v>
      </c>
      <c r="AA15" s="62">
        <f t="shared" ca="1" si="5"/>
        <v>9.6419392923079387E-3</v>
      </c>
      <c r="AB15" s="49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</row>
    <row r="16" spans="2:45" x14ac:dyDescent="0.25">
      <c r="B16" s="42"/>
      <c r="C16" s="43"/>
      <c r="D16" s="101" t="s">
        <v>67</v>
      </c>
      <c r="E16" s="59"/>
      <c r="G16" s="85">
        <v>-1</v>
      </c>
      <c r="H16" s="85">
        <v>-1</v>
      </c>
      <c r="I16" s="85">
        <v>-1</v>
      </c>
      <c r="J16" s="85">
        <v>-1</v>
      </c>
      <c r="K16" s="85">
        <v>-1</v>
      </c>
      <c r="L16" s="85">
        <v>-1</v>
      </c>
      <c r="M16" s="91">
        <v>-1</v>
      </c>
      <c r="N16" s="127">
        <f t="shared" ca="1" si="2"/>
        <v>200.78380457374547</v>
      </c>
      <c r="O16" s="136">
        <f ca="1">201+RAND()</f>
        <v>201.84791194522347</v>
      </c>
      <c r="P16" s="126">
        <f ca="1">201+RAND()</f>
        <v>201.66336720589783</v>
      </c>
      <c r="Q16" s="137">
        <f t="shared" ca="1" si="1"/>
        <v>200.74156527955807</v>
      </c>
      <c r="R16" s="106">
        <f t="shared" ca="1" si="3"/>
        <v>805.03664900442482</v>
      </c>
      <c r="S16" s="45" t="s">
        <v>20</v>
      </c>
      <c r="T16" s="63">
        <f ca="1">MIN((T9-T11)/(3*SQRT(T12)),(T11-T8)/(3*SQRT(T12)))</f>
        <v>0.53921518643066024</v>
      </c>
      <c r="U16" s="54"/>
      <c r="V16" s="51"/>
      <c r="W16" s="51"/>
      <c r="X16" s="51"/>
      <c r="Y16" s="60">
        <v>-2.8</v>
      </c>
      <c r="Z16" s="61">
        <f t="shared" ca="1" si="4"/>
        <v>199.27272931164984</v>
      </c>
      <c r="AA16" s="62">
        <f t="shared" ca="1" si="5"/>
        <v>1.2821484748364413E-2</v>
      </c>
      <c r="AB16" s="49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</row>
    <row r="17" spans="2:45" x14ac:dyDescent="0.25">
      <c r="B17" s="42"/>
      <c r="C17" s="43"/>
      <c r="D17" s="102" t="s">
        <v>67</v>
      </c>
      <c r="E17" s="59"/>
      <c r="F17" s="93"/>
      <c r="G17" s="96"/>
      <c r="H17" s="93"/>
      <c r="I17" s="93"/>
      <c r="J17" s="93"/>
      <c r="K17" s="93"/>
      <c r="L17" s="93"/>
      <c r="M17" s="93"/>
      <c r="N17" s="93"/>
      <c r="O17" s="93"/>
      <c r="P17" s="43"/>
      <c r="Q17" s="46">
        <f ca="1">SUM(M14:P14)</f>
        <v>603.59208141939769</v>
      </c>
      <c r="R17" s="43"/>
      <c r="S17" s="43"/>
      <c r="T17" s="43"/>
      <c r="U17" s="44"/>
      <c r="V17" s="51"/>
      <c r="W17" s="51"/>
      <c r="X17" s="51"/>
      <c r="Y17" s="60">
        <v>-2.7</v>
      </c>
      <c r="Z17" s="61">
        <f t="shared" ca="1" si="4"/>
        <v>199.33446515377989</v>
      </c>
      <c r="AA17" s="62">
        <f t="shared" ca="1" si="5"/>
        <v>1.687987796856812E-2</v>
      </c>
      <c r="AB17" s="49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</row>
    <row r="18" spans="2:45" x14ac:dyDescent="0.25">
      <c r="B18" s="42"/>
      <c r="C18" s="43"/>
      <c r="D18" s="43"/>
      <c r="E18" s="43"/>
      <c r="F18" s="43"/>
      <c r="G18" s="43"/>
      <c r="H18" s="43"/>
      <c r="I18" s="93"/>
      <c r="J18" s="93"/>
      <c r="K18" s="93"/>
      <c r="L18" s="93"/>
      <c r="M18" s="93"/>
      <c r="N18" s="93"/>
      <c r="O18" s="93"/>
      <c r="P18" s="43"/>
      <c r="Q18" s="46"/>
      <c r="R18" s="43"/>
      <c r="S18" s="43"/>
      <c r="T18" s="43"/>
      <c r="U18" s="44"/>
      <c r="V18" s="51"/>
      <c r="W18" s="51"/>
      <c r="X18" s="51"/>
      <c r="Y18" s="60">
        <v>-2.6</v>
      </c>
      <c r="Z18" s="61">
        <f t="shared" ca="1" si="4"/>
        <v>199.39620099590996</v>
      </c>
      <c r="AA18" s="62">
        <f t="shared" ca="1" si="5"/>
        <v>2.2001755811591962E-2</v>
      </c>
      <c r="AB18" s="49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</row>
    <row r="19" spans="2:45" x14ac:dyDescent="0.25">
      <c r="B19" s="64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6"/>
      <c r="R19" s="65"/>
      <c r="S19" s="65"/>
      <c r="T19" s="65"/>
      <c r="U19" s="67"/>
      <c r="V19" s="51"/>
      <c r="W19" s="51"/>
      <c r="X19" s="51"/>
      <c r="Y19" s="60">
        <v>-2.5</v>
      </c>
      <c r="Z19" s="61">
        <f t="shared" ca="1" si="4"/>
        <v>199.45793683804001</v>
      </c>
      <c r="AA19" s="62">
        <f t="shared" ca="1" si="5"/>
        <v>2.8392421466674908E-2</v>
      </c>
      <c r="AB19" s="49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</row>
    <row r="20" spans="2:45" x14ac:dyDescent="0.25"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4"/>
      <c r="V20" s="51"/>
      <c r="W20" s="51"/>
      <c r="X20" s="51"/>
      <c r="Y20" s="60">
        <v>-2.4</v>
      </c>
      <c r="Z20" s="61">
        <f t="shared" ca="1" si="4"/>
        <v>199.51967268017009</v>
      </c>
      <c r="AA20" s="62">
        <f t="shared" ca="1" si="5"/>
        <v>3.6274762799321993E-2</v>
      </c>
      <c r="AB20" s="49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</row>
    <row r="21" spans="2:45" x14ac:dyDescent="0.25"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4"/>
      <c r="V21" s="51"/>
      <c r="W21" s="51"/>
      <c r="X21" s="51"/>
      <c r="Y21" s="60">
        <v>-2.2999999999999998</v>
      </c>
      <c r="Z21" s="61">
        <f t="shared" ca="1" si="4"/>
        <v>199.58140852230014</v>
      </c>
      <c r="AA21" s="62">
        <f t="shared" ca="1" si="5"/>
        <v>4.5884265548565735E-2</v>
      </c>
      <c r="AB21" s="49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</row>
    <row r="22" spans="2:45" x14ac:dyDescent="0.25">
      <c r="B22" s="4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4"/>
      <c r="V22" s="51"/>
      <c r="W22" s="51"/>
      <c r="X22" s="51"/>
      <c r="Y22" s="60">
        <v>-2.2000000000000002</v>
      </c>
      <c r="Z22" s="61">
        <f t="shared" ca="1" si="4"/>
        <v>199.64314436443021</v>
      </c>
      <c r="AA22" s="62">
        <f t="shared" ca="1" si="5"/>
        <v>5.7461908062251724E-2</v>
      </c>
      <c r="AB22" s="49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</row>
    <row r="23" spans="2:45" x14ac:dyDescent="0.25">
      <c r="B23" s="42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4"/>
      <c r="V23" s="51"/>
      <c r="W23" s="51"/>
      <c r="X23" s="51"/>
      <c r="Y23" s="60">
        <v>-2.1</v>
      </c>
      <c r="Z23" s="61">
        <f t="shared" ca="1" si="4"/>
        <v>199.70488020656026</v>
      </c>
      <c r="AA23" s="62">
        <f t="shared" ca="1" si="5"/>
        <v>7.1244830333349496E-2</v>
      </c>
      <c r="AB23" s="49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</row>
    <row r="24" spans="2:45" x14ac:dyDescent="0.25"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4"/>
      <c r="V24" s="51"/>
      <c r="W24" s="51"/>
      <c r="X24" s="51"/>
      <c r="Y24" s="60">
        <v>-2</v>
      </c>
      <c r="Z24" s="61">
        <f t="shared" ca="1" si="4"/>
        <v>199.76661604869034</v>
      </c>
      <c r="AA24" s="62">
        <f t="shared" ca="1" si="5"/>
        <v>8.745481498323969E-2</v>
      </c>
      <c r="AB24" s="49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</row>
    <row r="25" spans="2:45" x14ac:dyDescent="0.25"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4"/>
      <c r="V25" s="51"/>
      <c r="W25" s="51"/>
      <c r="X25" s="51"/>
      <c r="Y25" s="60">
        <v>-1.9</v>
      </c>
      <c r="Z25" s="61">
        <f t="shared" ca="1" si="4"/>
        <v>199.82835189082039</v>
      </c>
      <c r="AA25" s="62">
        <f t="shared" ca="1" si="5"/>
        <v>0.10628479747055335</v>
      </c>
      <c r="AB25" s="49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</row>
    <row r="26" spans="2:45" x14ac:dyDescent="0.25"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4"/>
      <c r="V26" s="51"/>
      <c r="W26" s="51"/>
      <c r="X26" s="51"/>
      <c r="Y26" s="60">
        <v>-1.8</v>
      </c>
      <c r="Z26" s="61">
        <f t="shared" ca="1" si="4"/>
        <v>199.89008773295046</v>
      </c>
      <c r="AA26" s="62">
        <f t="shared" ca="1" si="5"/>
        <v>0.12788382822181288</v>
      </c>
      <c r="AB26" s="49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</row>
    <row r="27" spans="2:45" x14ac:dyDescent="0.25"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4"/>
      <c r="V27" s="51"/>
      <c r="W27" s="51"/>
      <c r="X27" s="51"/>
      <c r="Y27" s="60">
        <v>-1.7</v>
      </c>
      <c r="Z27" s="61">
        <f t="shared" ca="1" si="4"/>
        <v>199.95182357508051</v>
      </c>
      <c r="AA27" s="62">
        <f t="shared" ca="1" si="5"/>
        <v>0.15234112653513335</v>
      </c>
      <c r="AB27" s="49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</row>
    <row r="28" spans="2:45" x14ac:dyDescent="0.25">
      <c r="B28" s="4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4"/>
      <c r="V28" s="51"/>
      <c r="W28" s="51"/>
      <c r="X28" s="51"/>
      <c r="Y28" s="60">
        <v>-1.6</v>
      </c>
      <c r="Z28" s="61">
        <f t="shared" ca="1" si="4"/>
        <v>200.01355941721056</v>
      </c>
      <c r="AA28" s="62">
        <f t="shared" ca="1" si="5"/>
        <v>0.17967007633227125</v>
      </c>
      <c r="AB28" s="49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</row>
    <row r="29" spans="2:45" x14ac:dyDescent="0.25">
      <c r="B29" s="4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4"/>
      <c r="V29" s="51"/>
      <c r="W29" s="51"/>
      <c r="X29" s="51"/>
      <c r="Y29" s="60">
        <v>-1.5</v>
      </c>
      <c r="Z29" s="61">
        <f t="shared" ca="1" si="4"/>
        <v>200.07529525934063</v>
      </c>
      <c r="AA29" s="62">
        <f t="shared" ca="1" si="5"/>
        <v>0.20979319500175012</v>
      </c>
      <c r="AB29" s="49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</row>
    <row r="30" spans="2:45" x14ac:dyDescent="0.25">
      <c r="B30" s="4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53"/>
      <c r="U30" s="54"/>
      <c r="V30" s="51"/>
      <c r="W30" s="51"/>
      <c r="X30" s="51"/>
      <c r="Y30" s="60">
        <v>-1.4</v>
      </c>
      <c r="Z30" s="61">
        <f t="shared" ca="1" si="4"/>
        <v>200.13703110147068</v>
      </c>
      <c r="AA30" s="62">
        <f t="shared" ca="1" si="5"/>
        <v>0.24252923499497109</v>
      </c>
      <c r="AB30" s="49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</row>
    <row r="31" spans="2:45" x14ac:dyDescent="0.25"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53"/>
      <c r="U31" s="54"/>
      <c r="V31" s="51"/>
      <c r="W31" s="51"/>
      <c r="X31" s="51"/>
      <c r="Y31" s="60">
        <v>-1.3</v>
      </c>
      <c r="Z31" s="61">
        <f t="shared" ca="1" si="4"/>
        <v>200.19876694360076</v>
      </c>
      <c r="AA31" s="62">
        <f t="shared" ca="1" si="5"/>
        <v>0.27758363073233777</v>
      </c>
      <c r="AB31" s="49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</row>
    <row r="32" spans="2:45" x14ac:dyDescent="0.25">
      <c r="B32" s="4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53"/>
      <c r="U32" s="54"/>
      <c r="V32" s="51"/>
      <c r="W32" s="51"/>
      <c r="X32" s="51"/>
      <c r="Y32" s="60">
        <v>-1.2</v>
      </c>
      <c r="Z32" s="61">
        <f t="shared" ca="1" si="4"/>
        <v>200.26050278573081</v>
      </c>
      <c r="AA32" s="62">
        <f t="shared" ca="1" si="5"/>
        <v>0.31454346176101328</v>
      </c>
      <c r="AB32" s="49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</row>
    <row r="33" spans="2:45" x14ac:dyDescent="0.25">
      <c r="B33" s="4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4"/>
      <c r="V33" s="51"/>
      <c r="W33" s="51"/>
      <c r="X33" s="51"/>
      <c r="Y33" s="60">
        <v>-1.1000000000000001</v>
      </c>
      <c r="Z33" s="61">
        <f t="shared" ca="1" si="4"/>
        <v>200.32223862786088</v>
      </c>
      <c r="AA33" s="62">
        <f t="shared" ca="1" si="5"/>
        <v>0.35287795471161559</v>
      </c>
      <c r="AB33" s="49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</row>
    <row r="34" spans="2:45" x14ac:dyDescent="0.25">
      <c r="B34" s="42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51"/>
      <c r="W34" s="51"/>
      <c r="X34" s="51"/>
      <c r="Y34" s="60">
        <v>-1</v>
      </c>
      <c r="Z34" s="61">
        <f t="shared" ca="1" si="4"/>
        <v>200.38397446999093</v>
      </c>
      <c r="AA34" s="62">
        <f t="shared" ca="1" si="5"/>
        <v>0.39194528845880261</v>
      </c>
      <c r="AB34" s="49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</row>
    <row r="35" spans="2:45" ht="15.75" thickBot="1" x14ac:dyDescent="0.3">
      <c r="B35" s="68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70"/>
      <c r="V35" s="51"/>
      <c r="W35" s="51"/>
      <c r="X35" s="51"/>
      <c r="Y35" s="60">
        <v>-0.9</v>
      </c>
      <c r="Z35" s="61">
        <f t="shared" ca="1" si="4"/>
        <v>200.44571031212101</v>
      </c>
      <c r="AA35" s="62">
        <f t="shared" ca="1" si="5"/>
        <v>0.43100610717868709</v>
      </c>
      <c r="AB35" s="49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</row>
    <row r="36" spans="2:45" x14ac:dyDescent="0.25">
      <c r="B36" s="39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1"/>
      <c r="V36" s="51"/>
      <c r="W36" s="51"/>
      <c r="X36" s="51"/>
      <c r="Y36" s="60">
        <v>-0.8</v>
      </c>
      <c r="Z36" s="61">
        <f t="shared" ca="1" si="4"/>
        <v>200.50744615425106</v>
      </c>
      <c r="AA36" s="62">
        <f t="shared" ca="1" si="5"/>
        <v>0.4692437047366671</v>
      </c>
      <c r="AB36" s="49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</row>
    <row r="37" spans="2:45" x14ac:dyDescent="0.25"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53"/>
      <c r="U37" s="54"/>
      <c r="V37" s="51"/>
      <c r="W37" s="51"/>
      <c r="X37" s="51"/>
      <c r="Y37" s="60">
        <v>-0.7</v>
      </c>
      <c r="Z37" s="61">
        <f t="shared" ca="1" si="4"/>
        <v>200.56918199638113</v>
      </c>
      <c r="AA37" s="62">
        <f t="shared" ca="1" si="5"/>
        <v>0.50579035223805036</v>
      </c>
      <c r="AB37" s="49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</row>
    <row r="38" spans="2:45" x14ac:dyDescent="0.25">
      <c r="B38" s="42"/>
      <c r="C38" s="43"/>
      <c r="D38" s="43"/>
      <c r="E38" s="194" t="s">
        <v>58</v>
      </c>
      <c r="F38" s="195"/>
      <c r="G38" s="195"/>
      <c r="H38" s="196"/>
      <c r="I38" s="200" t="s">
        <v>59</v>
      </c>
      <c r="J38" s="200"/>
      <c r="K38" s="200"/>
      <c r="L38" s="200"/>
      <c r="M38" s="200"/>
      <c r="N38" s="200"/>
      <c r="O38" s="200"/>
      <c r="P38" s="146"/>
      <c r="Q38" s="146"/>
      <c r="R38" s="146"/>
      <c r="S38" s="146"/>
      <c r="T38" s="146"/>
      <c r="U38" s="147"/>
      <c r="V38" s="51"/>
      <c r="W38" s="51"/>
      <c r="X38" s="51"/>
      <c r="Y38" s="60">
        <v>-0.6</v>
      </c>
      <c r="Z38" s="61">
        <f t="shared" ca="1" si="4"/>
        <v>200.63091783851118</v>
      </c>
      <c r="AA38" s="62">
        <f t="shared" ca="1" si="5"/>
        <v>0.5397587388372872</v>
      </c>
      <c r="AB38" s="49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</row>
    <row r="39" spans="2:45" x14ac:dyDescent="0.25">
      <c r="B39" s="42"/>
      <c r="C39" s="43"/>
      <c r="D39" s="43"/>
      <c r="E39" s="71" t="s">
        <v>0</v>
      </c>
      <c r="F39" s="71" t="s">
        <v>1</v>
      </c>
      <c r="G39" s="71" t="s">
        <v>9</v>
      </c>
      <c r="H39" s="71" t="s">
        <v>10</v>
      </c>
      <c r="I39" s="71" t="s">
        <v>2</v>
      </c>
      <c r="J39" s="71" t="s">
        <v>3</v>
      </c>
      <c r="K39" s="71" t="s">
        <v>4</v>
      </c>
      <c r="L39" s="71" t="s">
        <v>5</v>
      </c>
      <c r="M39" s="71" t="s">
        <v>6</v>
      </c>
      <c r="N39" s="72" t="s">
        <v>11</v>
      </c>
      <c r="O39" s="72" t="s">
        <v>57</v>
      </c>
      <c r="P39" s="146"/>
      <c r="Q39" s="146"/>
      <c r="R39" s="146"/>
      <c r="S39" s="146"/>
      <c r="T39" s="146"/>
      <c r="U39" s="147"/>
      <c r="V39" s="51"/>
      <c r="W39" s="51"/>
      <c r="X39" s="51"/>
      <c r="Y39" s="60">
        <v>-0.5</v>
      </c>
      <c r="Z39" s="61">
        <f t="shared" ca="1" si="4"/>
        <v>200.69265368064126</v>
      </c>
      <c r="AA39" s="62">
        <f t="shared" ca="1" si="5"/>
        <v>0.57027702970762451</v>
      </c>
      <c r="AB39" s="49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</row>
    <row r="40" spans="2:45" x14ac:dyDescent="0.25">
      <c r="B40" s="42"/>
      <c r="C40" s="43"/>
      <c r="D40" s="43"/>
      <c r="E40" s="73" t="s">
        <v>12</v>
      </c>
      <c r="F40" s="73">
        <f ca="1">COUNT(N9:Q16)</f>
        <v>32</v>
      </c>
      <c r="G40" s="138">
        <f ca="1">SUM(N9:Q16)^2</f>
        <v>41371172.683853626</v>
      </c>
      <c r="H40" s="138">
        <f ca="1">G40/F40</f>
        <v>1292849.1463704258</v>
      </c>
      <c r="I40" s="75">
        <f ca="1">DEVSQ(N9:Q16)</f>
        <v>11.815074030874378</v>
      </c>
      <c r="J40" s="73">
        <f ca="1">F40-1</f>
        <v>31</v>
      </c>
      <c r="K40" s="74">
        <f ca="1">I40/J40</f>
        <v>0.3811314203507864</v>
      </c>
      <c r="L40" s="73" t="s">
        <v>7</v>
      </c>
      <c r="M40" s="73" t="s">
        <v>7</v>
      </c>
      <c r="N40" s="76">
        <f ca="1">SUM(N42:N52)</f>
        <v>0.99999999999999978</v>
      </c>
      <c r="O40" s="73" t="s">
        <v>7</v>
      </c>
      <c r="P40" s="146"/>
      <c r="Q40" s="146"/>
      <c r="R40" s="146"/>
      <c r="S40" s="146"/>
      <c r="T40" s="146"/>
      <c r="U40" s="147"/>
      <c r="V40" s="51"/>
      <c r="W40" s="51"/>
      <c r="X40" s="51"/>
      <c r="Y40" s="60">
        <v>-0.4</v>
      </c>
      <c r="Z40" s="61">
        <f t="shared" ca="1" si="4"/>
        <v>200.75438952277131</v>
      </c>
      <c r="AA40" s="62">
        <f t="shared" ca="1" si="5"/>
        <v>0.59652566094016002</v>
      </c>
      <c r="AB40" s="49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</row>
    <row r="41" spans="2:45" x14ac:dyDescent="0.25">
      <c r="B41" s="42"/>
      <c r="C41" s="43"/>
      <c r="D41" s="43"/>
      <c r="E41" s="73" t="s">
        <v>14</v>
      </c>
      <c r="F41" s="73" t="s">
        <v>7</v>
      </c>
      <c r="G41" s="139" t="s">
        <v>7</v>
      </c>
      <c r="H41" s="138" t="s">
        <v>7</v>
      </c>
      <c r="I41" s="74">
        <f ca="1">SUM(I43:I52)</f>
        <v>9.8118521417491138</v>
      </c>
      <c r="J41" s="77">
        <f>SUM(J43:J52)</f>
        <v>14</v>
      </c>
      <c r="K41" s="74">
        <f ca="1">I41/J41</f>
        <v>0.7008465815535081</v>
      </c>
      <c r="L41" s="74">
        <f ca="1">K41/K42</f>
        <v>5.947614665698481</v>
      </c>
      <c r="M41" s="74">
        <f ca="1">FINV(0.05,J41,J42)</f>
        <v>2.3289520232604746</v>
      </c>
      <c r="N41" s="76">
        <f ca="1">I41/I40</f>
        <v>0.83045202392379636</v>
      </c>
      <c r="O41" s="73" t="s">
        <v>7</v>
      </c>
      <c r="P41" s="146"/>
      <c r="Q41" s="146"/>
      <c r="R41" s="146"/>
      <c r="S41" s="146"/>
      <c r="T41" s="146"/>
      <c r="U41" s="147"/>
      <c r="V41" s="51"/>
      <c r="W41" s="51"/>
      <c r="X41" s="51"/>
      <c r="Y41" s="60">
        <v>-0.3</v>
      </c>
      <c r="Z41" s="61">
        <f t="shared" ca="1" si="4"/>
        <v>200.81612536490138</v>
      </c>
      <c r="AA41" s="62">
        <f t="shared" ca="1" si="5"/>
        <v>0.6177737312743562</v>
      </c>
      <c r="AB41" s="49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</row>
    <row r="42" spans="2:45" x14ac:dyDescent="0.25">
      <c r="B42" s="42"/>
      <c r="C42" s="43"/>
      <c r="D42" s="43"/>
      <c r="E42" s="73" t="s">
        <v>8</v>
      </c>
      <c r="F42" s="73" t="s">
        <v>7</v>
      </c>
      <c r="G42" s="138" t="s">
        <v>7</v>
      </c>
      <c r="H42" s="138" t="s">
        <v>7</v>
      </c>
      <c r="I42" s="74">
        <f ca="1">I40-I41</f>
        <v>2.003221889125264</v>
      </c>
      <c r="J42" s="77">
        <f ca="1">J40-J41</f>
        <v>17</v>
      </c>
      <c r="K42" s="74">
        <f ca="1">I42/J42</f>
        <v>0.11783658171325083</v>
      </c>
      <c r="L42" s="74" t="s">
        <v>7</v>
      </c>
      <c r="M42" s="73" t="s">
        <v>7</v>
      </c>
      <c r="N42" s="76">
        <f ca="1">I42/I40</f>
        <v>0.16954797607620364</v>
      </c>
      <c r="O42" s="73" t="s">
        <v>7</v>
      </c>
      <c r="P42" s="146"/>
      <c r="Q42" s="146"/>
      <c r="R42" s="146"/>
      <c r="S42" s="146"/>
      <c r="T42" s="146"/>
      <c r="U42" s="147"/>
      <c r="V42" s="51"/>
      <c r="W42" s="51"/>
      <c r="X42" s="51"/>
      <c r="Y42" s="60">
        <v>-0.2</v>
      </c>
      <c r="Z42" s="61">
        <f t="shared" ca="1" si="4"/>
        <v>200.87786120703143</v>
      </c>
      <c r="AA42" s="62">
        <f t="shared" ca="1" si="5"/>
        <v>0.63341274773838874</v>
      </c>
      <c r="AB42" s="49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</row>
    <row r="43" spans="2:45" x14ac:dyDescent="0.25">
      <c r="B43" s="42"/>
      <c r="C43" s="43"/>
      <c r="D43" s="43"/>
      <c r="E43" s="78" t="str">
        <f>D7</f>
        <v>opérateur</v>
      </c>
      <c r="F43" s="78">
        <v>2</v>
      </c>
      <c r="G43" s="140">
        <f ca="1">SUM(N9:O16)^2+SUM(P9:Q16)^2</f>
        <v>20685587.512723371</v>
      </c>
      <c r="H43" s="140">
        <f t="shared" ref="H43:H52" ca="1" si="6">G43*F43/$F$40</f>
        <v>1292849.2195452107</v>
      </c>
      <c r="I43" s="79">
        <f t="shared" ref="I43:I52" ca="1" si="7">H43-$H$40</f>
        <v>7.3174784891307354E-2</v>
      </c>
      <c r="J43" s="78">
        <f>F43-1</f>
        <v>1</v>
      </c>
      <c r="K43" s="79">
        <f ca="1">I43/J43</f>
        <v>7.3174784891307354E-2</v>
      </c>
      <c r="L43" s="79">
        <f t="shared" ref="L43:L52" ca="1" si="8">K43/K$42</f>
        <v>0.62098529868572028</v>
      </c>
      <c r="M43" s="79">
        <f t="shared" ref="M43:M52" ca="1" si="9">FINV(0.05,J43,J$42)</f>
        <v>4.4513217724681331</v>
      </c>
      <c r="N43" s="80">
        <f t="shared" ref="N43:N52" ca="1" si="10">I43/$I$40</f>
        <v>6.1933412097200406E-3</v>
      </c>
      <c r="O43" s="148">
        <f ca="1">1-FDIST(M43/L43,J43,J$42)</f>
        <v>0.98409070987466107</v>
      </c>
      <c r="P43" s="146"/>
      <c r="Q43" s="146"/>
      <c r="R43" s="146"/>
      <c r="S43" s="146"/>
      <c r="T43" s="146"/>
      <c r="U43" s="147"/>
      <c r="V43" s="51"/>
      <c r="W43" s="51"/>
      <c r="X43" s="51"/>
      <c r="Y43" s="60">
        <v>-0.1</v>
      </c>
      <c r="Z43" s="61">
        <f t="shared" ca="1" si="4"/>
        <v>200.93959704916151</v>
      </c>
      <c r="AA43" s="62">
        <f t="shared" ca="1" si="5"/>
        <v>0.64298555552338077</v>
      </c>
      <c r="AB43" s="49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</row>
    <row r="44" spans="2:45" x14ac:dyDescent="0.25">
      <c r="B44" s="42"/>
      <c r="C44" s="43"/>
      <c r="D44" s="43"/>
      <c r="E44" s="78" t="str">
        <f>D13</f>
        <v>échantillon</v>
      </c>
      <c r="F44" s="78">
        <v>4</v>
      </c>
      <c r="G44" s="140">
        <f ca="1">SUM(N9,O10,P11,Q12,P13,Q14,N15,O16)^2+SUM(O9,N10,Q11,P12,Q13,P14,O15,N16)^2+SUM(P9,Q10,N11,O12,N13,O14,P15,Q16)^2+SUM(Q9,P10,O11,N12,O13,N14,Q15,P16)^2</f>
        <v>10342867.355021534</v>
      </c>
      <c r="H44" s="140">
        <f t="shared" ca="1" si="6"/>
        <v>1292858.4193776918</v>
      </c>
      <c r="I44" s="79">
        <f t="shared" ca="1" si="7"/>
        <v>9.2730072659906</v>
      </c>
      <c r="J44" s="78">
        <v>3</v>
      </c>
      <c r="K44" s="79">
        <f ca="1">I44/J44</f>
        <v>3.0910024219968668</v>
      </c>
      <c r="L44" s="79">
        <f t="shared" ca="1" si="8"/>
        <v>26.231263475706211</v>
      </c>
      <c r="M44" s="79">
        <f t="shared" ca="1" si="9"/>
        <v>3.1967768409433446</v>
      </c>
      <c r="N44" s="80">
        <f t="shared" ca="1" si="10"/>
        <v>0.78484546451075843</v>
      </c>
      <c r="O44" s="148">
        <f t="shared" ref="O44:O52" ca="1" si="11">1-FDIST(M44/L44,J44,J$42)</f>
        <v>5.405588457721433E-2</v>
      </c>
      <c r="P44" s="146"/>
      <c r="Q44" s="146"/>
      <c r="R44" s="146"/>
      <c r="S44" s="146"/>
      <c r="T44" s="146"/>
      <c r="U44" s="147"/>
      <c r="V44" s="51"/>
      <c r="W44" s="51"/>
      <c r="X44" s="51"/>
      <c r="Y44" s="60">
        <v>0</v>
      </c>
      <c r="Z44" s="61">
        <f t="shared" ca="1" si="4"/>
        <v>201.00133289129155</v>
      </c>
      <c r="AA44" s="62">
        <f t="shared" ca="1" si="5"/>
        <v>0.64620853403273382</v>
      </c>
      <c r="AB44" s="49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</row>
    <row r="45" spans="2:45" x14ac:dyDescent="0.25">
      <c r="B45" s="42"/>
      <c r="C45" s="43"/>
      <c r="D45" s="43"/>
      <c r="E45" s="78" t="str">
        <f>D8</f>
        <v>jour</v>
      </c>
      <c r="F45" s="78">
        <v>4</v>
      </c>
      <c r="G45" s="141">
        <f ca="1">SUM(N9,Q10,O11,P12,N13,O15,P16,Q14)^2+SUM(O9,P10,N11,O13,P14,Q12,N15,Q16)^2+SUM(P9,O10,Q11,N12,P13,O14,Q15,N16)^2+SUM(Q9,N10,P11,O12,Q13,N14,P15,O16)^2</f>
        <v>10342793.421695681</v>
      </c>
      <c r="H45" s="140">
        <f t="shared" ca="1" si="6"/>
        <v>1292849.1777119602</v>
      </c>
      <c r="I45" s="79">
        <f t="shared" ca="1" si="7"/>
        <v>3.1341534340754151E-2</v>
      </c>
      <c r="J45" s="78">
        <f>F45-1</f>
        <v>3</v>
      </c>
      <c r="K45" s="79">
        <f t="shared" ref="K45:K52" ca="1" si="12">I45/J45</f>
        <v>1.0447178113584718E-2</v>
      </c>
      <c r="L45" s="79">
        <f t="shared" ca="1" si="8"/>
        <v>8.8658190535494147E-2</v>
      </c>
      <c r="M45" s="79">
        <f t="shared" ca="1" si="9"/>
        <v>3.1967768409433446</v>
      </c>
      <c r="N45" s="80">
        <f t="shared" ca="1" si="10"/>
        <v>2.6526735472714351E-3</v>
      </c>
      <c r="O45" s="148">
        <f t="shared" ca="1" si="11"/>
        <v>0.99999986276463793</v>
      </c>
      <c r="P45" s="146"/>
      <c r="Q45" s="146"/>
      <c r="R45" s="146"/>
      <c r="S45" s="146"/>
      <c r="T45" s="146"/>
      <c r="U45" s="147"/>
      <c r="V45" s="51"/>
      <c r="W45" s="51"/>
      <c r="X45" s="51"/>
      <c r="Y45" s="60">
        <v>0.1</v>
      </c>
      <c r="Z45" s="61">
        <f t="shared" ca="1" si="4"/>
        <v>201.0630687334216</v>
      </c>
      <c r="AA45" s="62">
        <f t="shared" ca="1" si="5"/>
        <v>0.64298555552338077</v>
      </c>
      <c r="AB45" s="49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</row>
    <row r="46" spans="2:45" x14ac:dyDescent="0.25">
      <c r="B46" s="42"/>
      <c r="C46" s="43"/>
      <c r="D46" s="43"/>
      <c r="E46" s="52" t="str">
        <f>G3</f>
        <v>débit</v>
      </c>
      <c r="F46" s="52">
        <v>2</v>
      </c>
      <c r="G46" s="142">
        <f ca="1">SUM(R9,R12,R14,R15)^2+SUM(R10,R11,R13,R16)^2</f>
        <v>20685586.345747635</v>
      </c>
      <c r="H46" s="142">
        <f ca="1">G46*F46/$F$40</f>
        <v>1292849.1466092272</v>
      </c>
      <c r="I46" s="143">
        <f t="shared" ca="1" si="7"/>
        <v>2.3880135267972946E-4</v>
      </c>
      <c r="J46" s="52">
        <f t="shared" ref="J46:J52" si="13">F46-1</f>
        <v>1</v>
      </c>
      <c r="K46" s="143">
        <f t="shared" ca="1" si="12"/>
        <v>2.3880135267972946E-4</v>
      </c>
      <c r="L46" s="143">
        <f t="shared" ca="1" si="8"/>
        <v>2.026546843159793E-3</v>
      </c>
      <c r="M46" s="143">
        <f t="shared" ca="1" si="9"/>
        <v>4.4513217724681331</v>
      </c>
      <c r="N46" s="144">
        <f t="shared" ca="1" si="10"/>
        <v>2.0211583275374272E-5</v>
      </c>
      <c r="O46" s="149">
        <f t="shared" ca="1" si="11"/>
        <v>1</v>
      </c>
      <c r="P46" s="146"/>
      <c r="Q46" s="146"/>
      <c r="R46" s="146"/>
      <c r="S46" s="146"/>
      <c r="T46" s="146"/>
      <c r="U46" s="147"/>
      <c r="V46" s="51"/>
      <c r="W46" s="51"/>
      <c r="X46" s="51"/>
      <c r="Y46" s="60">
        <v>0.2</v>
      </c>
      <c r="Z46" s="61">
        <f t="shared" ref="Z46:Z74" ca="1" si="14">T$11+Y46*SQRT(T$12)</f>
        <v>201.12480457555168</v>
      </c>
      <c r="AA46" s="62">
        <f t="shared" ref="AA46:AA74" ca="1" si="15">NORMDIST(Z46,T$11,SQRT(T$12),0)</f>
        <v>0.63341274773838874</v>
      </c>
      <c r="AB46" s="49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</row>
    <row r="47" spans="2:45" x14ac:dyDescent="0.25">
      <c r="B47" s="42"/>
      <c r="C47" s="43"/>
      <c r="D47" s="43"/>
      <c r="E47" s="52" t="str">
        <f>H3</f>
        <v>pression</v>
      </c>
      <c r="F47" s="52">
        <v>2</v>
      </c>
      <c r="G47" s="142">
        <f ca="1">SUM(R9,R10,R13,R15)^2+SUM(R11,R12,R14,R16)^2</f>
        <v>20685588.66070389</v>
      </c>
      <c r="H47" s="142">
        <f t="shared" ca="1" si="6"/>
        <v>1292849.2912939931</v>
      </c>
      <c r="I47" s="143">
        <f t="shared" ca="1" si="7"/>
        <v>0.14492356730625033</v>
      </c>
      <c r="J47" s="52">
        <f t="shared" si="13"/>
        <v>1</v>
      </c>
      <c r="K47" s="143">
        <f t="shared" ca="1" si="12"/>
        <v>0.14492356730625033</v>
      </c>
      <c r="L47" s="143">
        <f t="shared" ca="1" si="8"/>
        <v>1.2298690712101126</v>
      </c>
      <c r="M47" s="143">
        <f t="shared" ca="1" si="9"/>
        <v>4.4513217724681331</v>
      </c>
      <c r="N47" s="144">
        <f t="shared" ca="1" si="10"/>
        <v>1.2265988933082058E-2</v>
      </c>
      <c r="O47" s="149">
        <f ca="1">1-FDIST(M47/L47,J47,J$42)</f>
        <v>0.92580922993575343</v>
      </c>
      <c r="P47" s="146"/>
      <c r="Q47" s="146"/>
      <c r="R47" s="146"/>
      <c r="S47" s="146"/>
      <c r="T47" s="146"/>
      <c r="U47" s="147"/>
      <c r="V47" s="51"/>
      <c r="W47" s="51"/>
      <c r="X47" s="51"/>
      <c r="Y47" s="60">
        <v>0.3</v>
      </c>
      <c r="Z47" s="61">
        <f t="shared" ca="1" si="14"/>
        <v>201.18654041768173</v>
      </c>
      <c r="AA47" s="62">
        <f t="shared" ca="1" si="15"/>
        <v>0.6177737312743562</v>
      </c>
      <c r="AB47" s="49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</row>
    <row r="48" spans="2:45" x14ac:dyDescent="0.25">
      <c r="B48" s="42"/>
      <c r="C48" s="43"/>
      <c r="D48" s="43"/>
      <c r="E48" s="52" t="str">
        <f>I3</f>
        <v>T°C</v>
      </c>
      <c r="F48" s="52">
        <v>2</v>
      </c>
      <c r="G48" s="142">
        <f ca="1">SUM(R9,R10,R11,R14)^2+SUM(R12,R13,R15,R16)^2</f>
        <v>20685587.16621168</v>
      </c>
      <c r="H48" s="142">
        <f t="shared" ca="1" si="6"/>
        <v>1292849.19788823</v>
      </c>
      <c r="I48" s="143">
        <f t="shared" ca="1" si="7"/>
        <v>5.1517804153263569E-2</v>
      </c>
      <c r="J48" s="52">
        <f t="shared" si="13"/>
        <v>1</v>
      </c>
      <c r="K48" s="143">
        <f t="shared" ca="1" si="12"/>
        <v>5.1517804153263569E-2</v>
      </c>
      <c r="L48" s="143">
        <f t="shared" ca="1" si="8"/>
        <v>0.43719703511622099</v>
      </c>
      <c r="M48" s="143">
        <f t="shared" ca="1" si="9"/>
        <v>4.4513217724681331</v>
      </c>
      <c r="N48" s="144">
        <f t="shared" ca="1" si="10"/>
        <v>4.3603454382630715E-3</v>
      </c>
      <c r="O48" s="149">
        <f ca="1">1-FDIST(M48/L48,J48,J$42)</f>
        <v>0.9946480825728059</v>
      </c>
      <c r="P48" s="146"/>
      <c r="Q48" s="146"/>
      <c r="R48" s="146"/>
      <c r="S48" s="146"/>
      <c r="T48" s="146"/>
      <c r="U48" s="147"/>
      <c r="V48" s="51"/>
      <c r="W48" s="51"/>
      <c r="X48" s="51"/>
      <c r="Y48" s="60">
        <v>0.4</v>
      </c>
      <c r="Z48" s="61">
        <f t="shared" ca="1" si="14"/>
        <v>201.2482762598118</v>
      </c>
      <c r="AA48" s="62">
        <f t="shared" ca="1" si="15"/>
        <v>0.59652566094016002</v>
      </c>
      <c r="AB48" s="49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</row>
    <row r="49" spans="2:45" x14ac:dyDescent="0.25">
      <c r="B49" s="42"/>
      <c r="C49" s="43"/>
      <c r="D49" s="43"/>
      <c r="E49" s="52" t="str">
        <f>J3</f>
        <v>colonne</v>
      </c>
      <c r="F49" s="52">
        <v>2</v>
      </c>
      <c r="G49" s="142">
        <f ca="1">SUM(R10,R11,R12,R15)^2+SUM(R9,R13,R14,R16)^2</f>
        <v>20685586.343356751</v>
      </c>
      <c r="H49" s="142">
        <f t="shared" ca="1" si="6"/>
        <v>1292849.1464597969</v>
      </c>
      <c r="I49" s="143">
        <f t="shared" ca="1" si="7"/>
        <v>8.9371111243963242E-5</v>
      </c>
      <c r="J49" s="52">
        <f t="shared" si="13"/>
        <v>1</v>
      </c>
      <c r="K49" s="143">
        <f t="shared" ca="1" si="12"/>
        <v>8.9371111243963242E-5</v>
      </c>
      <c r="L49" s="143">
        <f t="shared" ca="1" si="8"/>
        <v>7.5843265261583352E-4</v>
      </c>
      <c r="M49" s="143">
        <f t="shared" ca="1" si="9"/>
        <v>4.4513217724681331</v>
      </c>
      <c r="N49" s="144">
        <f t="shared" ca="1" si="10"/>
        <v>7.5641600730071183E-6</v>
      </c>
      <c r="O49" s="149">
        <f ca="1">1-FDIST(M49/L49,J49,J$42)</f>
        <v>1</v>
      </c>
      <c r="P49" s="146"/>
      <c r="Q49" s="146"/>
      <c r="R49" s="146"/>
      <c r="S49" s="146"/>
      <c r="T49" s="146"/>
      <c r="U49" s="147"/>
      <c r="V49" s="51"/>
      <c r="W49" s="51"/>
      <c r="X49" s="51"/>
      <c r="Y49" s="60">
        <v>0.5</v>
      </c>
      <c r="Z49" s="61">
        <f t="shared" ca="1" si="14"/>
        <v>201.31001210194185</v>
      </c>
      <c r="AA49" s="62">
        <f t="shared" ca="1" si="15"/>
        <v>0.57027702970762451</v>
      </c>
      <c r="AB49" s="49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</row>
    <row r="50" spans="2:45" x14ac:dyDescent="0.25">
      <c r="B50" s="42"/>
      <c r="C50" s="43"/>
      <c r="D50" s="43"/>
      <c r="E50" s="52" t="str">
        <f>K3</f>
        <v>gaz</v>
      </c>
      <c r="F50" s="52">
        <v>2</v>
      </c>
      <c r="G50" s="142">
        <f ca="1">SUM(R9,R11,R12,R13)^2+SUM(R10,R14,R15,R16)^2</f>
        <v>20685587.29396446</v>
      </c>
      <c r="H50" s="142">
        <f t="shared" ca="1" si="6"/>
        <v>1292849.2058727788</v>
      </c>
      <c r="I50" s="143">
        <f t="shared" ca="1" si="7"/>
        <v>5.9502352960407734E-2</v>
      </c>
      <c r="J50" s="52">
        <f t="shared" si="13"/>
        <v>1</v>
      </c>
      <c r="K50" s="143">
        <f t="shared" ca="1" si="12"/>
        <v>5.9502352960407734E-2</v>
      </c>
      <c r="L50" s="143">
        <f t="shared" ca="1" si="8"/>
        <v>0.50495654316588723</v>
      </c>
      <c r="M50" s="143">
        <f t="shared" ca="1" si="9"/>
        <v>4.4513217724681331</v>
      </c>
      <c r="N50" s="144">
        <f t="shared" ca="1" si="10"/>
        <v>5.0361388176595493E-3</v>
      </c>
      <c r="O50" s="149">
        <f t="shared" ca="1" si="11"/>
        <v>0.99139637222287724</v>
      </c>
      <c r="P50" s="146"/>
      <c r="Q50" s="146"/>
      <c r="R50" s="146"/>
      <c r="S50" s="146"/>
      <c r="T50" s="146"/>
      <c r="U50" s="147"/>
      <c r="V50" s="51"/>
      <c r="W50" s="51"/>
      <c r="X50" s="51"/>
      <c r="Y50" s="60">
        <v>0.6</v>
      </c>
      <c r="Z50" s="61">
        <f t="shared" ca="1" si="14"/>
        <v>201.37174794407193</v>
      </c>
      <c r="AA50" s="62">
        <f t="shared" ca="1" si="15"/>
        <v>0.5397587388372872</v>
      </c>
      <c r="AB50" s="49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</row>
    <row r="51" spans="2:45" x14ac:dyDescent="0.25">
      <c r="B51" s="42"/>
      <c r="C51" s="43"/>
      <c r="D51" s="43"/>
      <c r="E51" s="52" t="str">
        <f>L3</f>
        <v>lg onde</v>
      </c>
      <c r="F51" s="52">
        <v>2</v>
      </c>
      <c r="G51" s="142">
        <f ca="1">SUM(R10,R12,R13,R14)^2+SUM(R9,R11,R15,R16)^2</f>
        <v>20685587.152431168</v>
      </c>
      <c r="H51" s="142">
        <f t="shared" ca="1" si="6"/>
        <v>1292849.197026948</v>
      </c>
      <c r="I51" s="143">
        <f t="shared" ca="1" si="7"/>
        <v>5.0656522158533335E-2</v>
      </c>
      <c r="J51" s="52">
        <f t="shared" si="13"/>
        <v>1</v>
      </c>
      <c r="K51" s="143">
        <f t="shared" ca="1" si="12"/>
        <v>5.0656522158533335E-2</v>
      </c>
      <c r="L51" s="143">
        <f t="shared" ca="1" si="8"/>
        <v>0.42988791275194438</v>
      </c>
      <c r="M51" s="143">
        <f t="shared" ca="1" si="9"/>
        <v>4.4513217724681331</v>
      </c>
      <c r="N51" s="144">
        <f t="shared" ca="1" si="10"/>
        <v>4.2874485615715168E-3</v>
      </c>
      <c r="O51" s="149">
        <f t="shared" ca="1" si="11"/>
        <v>0.99495031736313178</v>
      </c>
      <c r="P51" s="146"/>
      <c r="Q51" s="146"/>
      <c r="R51" s="146"/>
      <c r="S51" s="146"/>
      <c r="T51" s="146"/>
      <c r="U51" s="147"/>
      <c r="V51" s="51"/>
      <c r="W51" s="51"/>
      <c r="X51" s="51"/>
      <c r="Y51" s="60">
        <v>0.7</v>
      </c>
      <c r="Z51" s="61">
        <f t="shared" ca="1" si="14"/>
        <v>201.43348378620198</v>
      </c>
      <c r="AA51" s="62">
        <f t="shared" ca="1" si="15"/>
        <v>0.50579035223805036</v>
      </c>
      <c r="AB51" s="49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</row>
    <row r="52" spans="2:45" x14ac:dyDescent="0.25">
      <c r="B52" s="42"/>
      <c r="C52" s="43"/>
      <c r="D52" s="43"/>
      <c r="E52" s="52" t="str">
        <f>M3</f>
        <v>alcool</v>
      </c>
      <c r="F52" s="52">
        <v>2</v>
      </c>
      <c r="G52" s="142">
        <f ca="1">SUM(R9,R10,R12,R16)^2+SUM(R11,R13,R14,R15)^2</f>
        <v>20685588.380329013</v>
      </c>
      <c r="H52" s="142">
        <f t="shared" ca="1" si="6"/>
        <v>1292849.2737705633</v>
      </c>
      <c r="I52" s="143">
        <f t="shared" ca="1" si="7"/>
        <v>0.12740013748407364</v>
      </c>
      <c r="J52" s="52">
        <f t="shared" si="13"/>
        <v>1</v>
      </c>
      <c r="K52" s="143">
        <f t="shared" ca="1" si="12"/>
        <v>0.12740013748407364</v>
      </c>
      <c r="L52" s="143">
        <f t="shared" ca="1" si="8"/>
        <v>1.0811594806279703</v>
      </c>
      <c r="M52" s="143">
        <f t="shared" ca="1" si="9"/>
        <v>4.4513217724681331</v>
      </c>
      <c r="N52" s="144">
        <f t="shared" ca="1" si="10"/>
        <v>1.0782847162121875E-2</v>
      </c>
      <c r="O52" s="144">
        <f t="shared" ca="1" si="11"/>
        <v>0.9415913322512518</v>
      </c>
      <c r="P52" s="146"/>
      <c r="Q52" s="146"/>
      <c r="R52" s="146"/>
      <c r="S52" s="146"/>
      <c r="T52" s="146"/>
      <c r="U52" s="147"/>
      <c r="V52" s="51"/>
      <c r="W52" s="51"/>
      <c r="X52" s="51"/>
      <c r="Y52" s="60">
        <v>0.8</v>
      </c>
      <c r="Z52" s="61">
        <f t="shared" ca="1" si="14"/>
        <v>201.49521962833205</v>
      </c>
      <c r="AA52" s="62">
        <f t="shared" ca="1" si="15"/>
        <v>0.4692437047366671</v>
      </c>
      <c r="AB52" s="49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</row>
    <row r="53" spans="2:45" x14ac:dyDescent="0.25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 t="s">
        <v>94</v>
      </c>
      <c r="M53" s="43"/>
      <c r="N53" s="43"/>
      <c r="O53" s="43"/>
      <c r="P53" s="146"/>
      <c r="Q53" s="146"/>
      <c r="R53" s="146"/>
      <c r="S53" s="146"/>
      <c r="T53" s="146"/>
      <c r="U53" s="147"/>
      <c r="V53" s="51"/>
      <c r="W53" s="51"/>
      <c r="X53" s="51"/>
      <c r="Y53" s="60">
        <v>0.9</v>
      </c>
      <c r="Z53" s="61">
        <f t="shared" ca="1" si="14"/>
        <v>201.5569554704621</v>
      </c>
      <c r="AA53" s="62">
        <f t="shared" ca="1" si="15"/>
        <v>0.43100610717868709</v>
      </c>
      <c r="AB53" s="49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</row>
    <row r="54" spans="2:45" x14ac:dyDescent="0.25">
      <c r="B54" s="42"/>
      <c r="C54" s="43"/>
      <c r="D54" s="43"/>
      <c r="E54" s="145" t="s">
        <v>56</v>
      </c>
      <c r="F54" s="81">
        <f ca="1">N41</f>
        <v>0.83045202392379636</v>
      </c>
      <c r="G54" s="53" t="s">
        <v>91</v>
      </c>
      <c r="H54" s="43"/>
      <c r="I54" s="43"/>
      <c r="J54" s="43"/>
      <c r="K54" s="43"/>
      <c r="L54" s="43"/>
      <c r="M54" s="43"/>
      <c r="N54" s="43"/>
      <c r="O54" s="43"/>
      <c r="P54" s="146"/>
      <c r="Q54" s="146"/>
      <c r="R54" s="146"/>
      <c r="S54" s="146"/>
      <c r="T54" s="146"/>
      <c r="U54" s="147"/>
      <c r="V54" s="51"/>
      <c r="W54" s="51"/>
      <c r="X54" s="51"/>
      <c r="Y54" s="60">
        <v>1</v>
      </c>
      <c r="Z54" s="61">
        <f t="shared" ca="1" si="14"/>
        <v>201.61869131259218</v>
      </c>
      <c r="AA54" s="62">
        <f t="shared" ca="1" si="15"/>
        <v>0.39194528845880261</v>
      </c>
      <c r="AB54" s="49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</row>
    <row r="55" spans="2:45" x14ac:dyDescent="0.25">
      <c r="B55" s="42"/>
      <c r="C55" s="43"/>
      <c r="D55" s="43"/>
      <c r="E55" s="43"/>
      <c r="F55" s="43"/>
      <c r="G55" s="53"/>
      <c r="H55" s="43"/>
      <c r="I55" s="43"/>
      <c r="J55" s="43"/>
      <c r="K55" s="43"/>
      <c r="L55" s="43"/>
      <c r="M55" s="43"/>
      <c r="N55" s="43"/>
      <c r="O55" s="43"/>
      <c r="P55" s="146"/>
      <c r="Q55" s="146"/>
      <c r="R55" s="146"/>
      <c r="S55" s="146"/>
      <c r="T55" s="146"/>
      <c r="U55" s="147"/>
      <c r="V55" s="51"/>
      <c r="W55" s="51"/>
      <c r="X55" s="51"/>
      <c r="Y55" s="60">
        <v>1.1000000000000001</v>
      </c>
      <c r="Z55" s="61">
        <f t="shared" ca="1" si="14"/>
        <v>201.68042715472222</v>
      </c>
      <c r="AA55" s="62">
        <f t="shared" ca="1" si="15"/>
        <v>0.35287795471161559</v>
      </c>
      <c r="AB55" s="49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</row>
    <row r="56" spans="2:45" x14ac:dyDescent="0.25">
      <c r="B56" s="42"/>
      <c r="C56" s="43"/>
      <c r="D56" s="43"/>
      <c r="E56" s="145" t="s">
        <v>60</v>
      </c>
      <c r="F56" s="81">
        <f ca="1">(K40-K42)/K40</f>
        <v>0.69082427891986387</v>
      </c>
      <c r="G56" s="53" t="s">
        <v>63</v>
      </c>
      <c r="H56" s="43"/>
      <c r="I56" s="43"/>
      <c r="J56" s="43"/>
      <c r="K56" s="43"/>
      <c r="L56" s="43"/>
      <c r="M56" s="43"/>
      <c r="N56" s="43"/>
      <c r="O56" s="43"/>
      <c r="P56" s="146"/>
      <c r="Q56" s="146"/>
      <c r="R56" s="146"/>
      <c r="S56" s="146"/>
      <c r="T56" s="146"/>
      <c r="U56" s="147"/>
      <c r="V56" s="51"/>
      <c r="W56" s="51"/>
      <c r="X56" s="51"/>
      <c r="Y56" s="60">
        <v>1.2</v>
      </c>
      <c r="Z56" s="61">
        <f t="shared" ca="1" si="14"/>
        <v>201.7421629968523</v>
      </c>
      <c r="AA56" s="62">
        <f t="shared" ca="1" si="15"/>
        <v>0.31454346176101328</v>
      </c>
      <c r="AB56" s="49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</row>
    <row r="57" spans="2:45" x14ac:dyDescent="0.25">
      <c r="B57" s="42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109"/>
      <c r="P57" s="43"/>
      <c r="Q57" s="43"/>
      <c r="R57" s="43"/>
      <c r="S57" s="43"/>
      <c r="T57" s="43"/>
      <c r="U57" s="44"/>
      <c r="V57" s="51"/>
      <c r="W57" s="51"/>
      <c r="X57" s="51"/>
      <c r="Y57" s="60">
        <v>1.3</v>
      </c>
      <c r="Z57" s="61">
        <f t="shared" ca="1" si="14"/>
        <v>201.80389883898235</v>
      </c>
      <c r="AA57" s="62">
        <f t="shared" ca="1" si="15"/>
        <v>0.27758363073233777</v>
      </c>
      <c r="AB57" s="49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</row>
    <row r="58" spans="2:45" ht="15.75" thickBot="1" x14ac:dyDescent="0.3">
      <c r="B58" s="68"/>
      <c r="C58" s="107"/>
      <c r="D58" s="69"/>
      <c r="E58" s="108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70"/>
      <c r="V58" s="51"/>
      <c r="W58" s="51"/>
      <c r="X58" s="51"/>
      <c r="Y58" s="60">
        <v>1.4</v>
      </c>
      <c r="Z58" s="61">
        <f t="shared" ca="1" si="14"/>
        <v>201.86563468111243</v>
      </c>
      <c r="AA58" s="62">
        <f t="shared" ca="1" si="15"/>
        <v>0.24252923499497109</v>
      </c>
      <c r="AB58" s="49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</row>
    <row r="59" spans="2:45" x14ac:dyDescent="0.25">
      <c r="B59" s="51" t="s">
        <v>72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P59" s="43"/>
      <c r="Q59" s="43"/>
      <c r="R59" s="43"/>
      <c r="S59" s="43"/>
      <c r="T59" s="43"/>
      <c r="U59" s="111" t="s">
        <v>66</v>
      </c>
      <c r="V59" s="53"/>
      <c r="W59" s="51"/>
      <c r="X59" s="51"/>
      <c r="Y59" s="60">
        <v>1.5</v>
      </c>
      <c r="Z59" s="61">
        <f t="shared" ca="1" si="14"/>
        <v>201.92737052324247</v>
      </c>
      <c r="AA59" s="62">
        <f t="shared" ca="1" si="15"/>
        <v>0.20979319500175012</v>
      </c>
      <c r="AB59" s="49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</row>
    <row r="60" spans="2:45" x14ac:dyDescent="0.25">
      <c r="C60" s="43"/>
      <c r="D60" s="43"/>
      <c r="E60" s="43"/>
      <c r="F60" s="43"/>
      <c r="G60" s="43"/>
      <c r="H60" s="43"/>
      <c r="I60" s="43"/>
      <c r="J60" s="43"/>
      <c r="K60" s="43"/>
      <c r="L60" s="58"/>
      <c r="M60" s="58"/>
      <c r="N60" s="58"/>
      <c r="O60" s="58"/>
      <c r="P60" s="58"/>
      <c r="Q60" s="43"/>
      <c r="R60" s="43"/>
      <c r="S60" s="43"/>
      <c r="T60" s="43"/>
      <c r="U60" s="90">
        <v>42795</v>
      </c>
      <c r="V60" s="53"/>
      <c r="W60" s="51"/>
      <c r="X60" s="51"/>
      <c r="Y60" s="60">
        <v>1.6</v>
      </c>
      <c r="Z60" s="61">
        <f t="shared" ca="1" si="14"/>
        <v>201.98910636537255</v>
      </c>
      <c r="AA60" s="62">
        <f t="shared" ca="1" si="15"/>
        <v>0.17967007633227125</v>
      </c>
      <c r="AB60" s="49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</row>
    <row r="61" spans="2:45" x14ac:dyDescent="0.25">
      <c r="C61" s="110"/>
      <c r="D61" s="152"/>
      <c r="E61" s="152"/>
      <c r="F61" s="53"/>
      <c r="G61" s="53"/>
      <c r="H61" s="53"/>
      <c r="I61" s="53"/>
      <c r="J61" s="53"/>
      <c r="K61" s="53"/>
      <c r="L61" s="58"/>
      <c r="M61" s="58"/>
      <c r="N61" s="58"/>
      <c r="O61" s="58"/>
      <c r="P61" s="58"/>
      <c r="Q61" s="53"/>
      <c r="R61" s="53"/>
      <c r="S61" s="53"/>
      <c r="T61" s="53"/>
      <c r="U61" s="51"/>
      <c r="V61" s="53"/>
      <c r="W61" s="51"/>
      <c r="X61" s="51"/>
      <c r="Y61" s="60">
        <v>1.7</v>
      </c>
      <c r="Z61" s="61">
        <f t="shared" ca="1" si="14"/>
        <v>202.0508422075026</v>
      </c>
      <c r="AA61" s="62">
        <f t="shared" ca="1" si="15"/>
        <v>0.15234112653513335</v>
      </c>
      <c r="AB61" s="49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</row>
    <row r="62" spans="2:45" x14ac:dyDescent="0.25">
      <c r="C62" s="51"/>
      <c r="D62" s="51"/>
      <c r="E62" s="51"/>
      <c r="F62" s="51"/>
      <c r="G62" s="51"/>
      <c r="H62" s="51"/>
      <c r="I62" s="51"/>
      <c r="J62" s="51"/>
      <c r="K62" s="51"/>
      <c r="L62" s="58" t="e">
        <f>VAR(M8:M9)</f>
        <v>#DIV/0!</v>
      </c>
      <c r="M62" s="58" t="e">
        <f ca="1">VAR(N8:N9)</f>
        <v>#DIV/0!</v>
      </c>
      <c r="N62" s="58" t="e">
        <f ca="1">VAR(O8:O9)</f>
        <v>#DIV/0!</v>
      </c>
      <c r="O62" s="58" t="e">
        <f ca="1">VAR(P8:P9)</f>
        <v>#DIV/0!</v>
      </c>
      <c r="P62" s="49"/>
      <c r="Q62" s="51"/>
      <c r="R62" s="51"/>
      <c r="S62" s="51"/>
      <c r="T62" s="51"/>
      <c r="U62" s="51"/>
      <c r="V62" s="51"/>
      <c r="W62" s="51"/>
      <c r="X62" s="51"/>
      <c r="Y62" s="60">
        <v>1.8</v>
      </c>
      <c r="Z62" s="61">
        <f t="shared" ca="1" si="14"/>
        <v>202.11257804963265</v>
      </c>
      <c r="AA62" s="62">
        <f t="shared" ca="1" si="15"/>
        <v>0.12788382822181288</v>
      </c>
      <c r="AB62" s="49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</row>
    <row r="63" spans="2:45" x14ac:dyDescent="0.25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49"/>
      <c r="M63" s="49"/>
      <c r="N63" s="49"/>
      <c r="O63" s="49"/>
      <c r="P63" s="49"/>
      <c r="Q63" s="51"/>
      <c r="R63" s="51"/>
      <c r="S63" s="51"/>
      <c r="T63" s="51"/>
      <c r="U63" s="51"/>
      <c r="V63" s="51"/>
      <c r="W63" s="51"/>
      <c r="X63" s="51"/>
      <c r="Y63" s="60">
        <v>1.9</v>
      </c>
      <c r="Z63" s="61">
        <f t="shared" ca="1" si="14"/>
        <v>202.17431389176272</v>
      </c>
      <c r="AA63" s="62">
        <f t="shared" ca="1" si="15"/>
        <v>0.10628479747055335</v>
      </c>
      <c r="AB63" s="49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</row>
    <row r="64" spans="2:45" x14ac:dyDescent="0.25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8">
        <f>VAR(M10:M11)</f>
        <v>2</v>
      </c>
      <c r="M64" s="58">
        <f ca="1">VAR(N10:N11)</f>
        <v>1.3606677252891495E-2</v>
      </c>
      <c r="N64" s="58">
        <f ca="1">VAR(O10:O11)</f>
        <v>9.2043384574958018E-7</v>
      </c>
      <c r="O64" s="58">
        <f ca="1">VAR(P10:P11)</f>
        <v>9.7170535416447532E-2</v>
      </c>
      <c r="P64" s="49"/>
      <c r="Q64" s="51"/>
      <c r="R64" s="51"/>
      <c r="S64" s="51"/>
      <c r="T64" s="51"/>
      <c r="U64" s="51"/>
      <c r="V64" s="51"/>
      <c r="W64" s="51"/>
      <c r="X64" s="51"/>
      <c r="Y64" s="60">
        <v>2</v>
      </c>
      <c r="Z64" s="61">
        <f t="shared" ca="1" si="14"/>
        <v>202.23604973389277</v>
      </c>
      <c r="AA64" s="62">
        <f t="shared" ca="1" si="15"/>
        <v>8.745481498323969E-2</v>
      </c>
      <c r="AB64" s="49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</row>
    <row r="65" spans="2:45" x14ac:dyDescent="0.25"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49"/>
      <c r="M65" s="49"/>
      <c r="N65" s="49"/>
      <c r="O65" s="49"/>
      <c r="P65" s="49"/>
      <c r="Q65" s="51"/>
      <c r="R65" s="51"/>
      <c r="S65" s="51"/>
      <c r="T65" s="51"/>
      <c r="U65" s="51"/>
      <c r="V65" s="51"/>
      <c r="W65" s="51"/>
      <c r="X65" s="51"/>
      <c r="Y65" s="60">
        <v>2.1</v>
      </c>
      <c r="Z65" s="61">
        <f t="shared" ca="1" si="14"/>
        <v>202.29778557602285</v>
      </c>
      <c r="AA65" s="62">
        <f t="shared" ca="1" si="15"/>
        <v>7.1244830333349496E-2</v>
      </c>
      <c r="AB65" s="49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</row>
    <row r="66" spans="2:45" x14ac:dyDescent="0.25"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8">
        <f>VAR(M12:M13)</f>
        <v>2</v>
      </c>
      <c r="M66" s="58">
        <f ca="1">VAR(N12:N13)</f>
        <v>0.72433297831097287</v>
      </c>
      <c r="N66" s="58">
        <f ca="1">VAR(O12:O13)</f>
        <v>0.29494795900248266</v>
      </c>
      <c r="O66" s="58">
        <f ca="1">VAR(P12:P13)</f>
        <v>8.4340277381288964E-2</v>
      </c>
      <c r="P66" s="49"/>
      <c r="Q66" s="51"/>
      <c r="R66" s="51"/>
      <c r="S66" s="51"/>
      <c r="T66" s="51"/>
      <c r="U66" s="51"/>
      <c r="V66" s="51"/>
      <c r="W66" s="51"/>
      <c r="X66" s="51"/>
      <c r="Y66" s="60">
        <v>2.2000000000000002</v>
      </c>
      <c r="Z66" s="61">
        <f t="shared" ca="1" si="14"/>
        <v>202.35952141815289</v>
      </c>
      <c r="AA66" s="62">
        <f t="shared" ca="1" si="15"/>
        <v>5.7461908062251724E-2</v>
      </c>
      <c r="AB66" s="49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</row>
    <row r="67" spans="2:45" x14ac:dyDescent="0.25"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49"/>
      <c r="M67" s="49"/>
      <c r="N67" s="49"/>
      <c r="O67" s="49"/>
      <c r="P67" s="49"/>
      <c r="Q67" s="51"/>
      <c r="R67" s="51"/>
      <c r="S67" s="51"/>
      <c r="T67" s="51"/>
      <c r="U67" s="51"/>
      <c r="V67" s="51"/>
      <c r="W67" s="51"/>
      <c r="X67" s="51"/>
      <c r="Y67" s="60">
        <v>2.2999999999999998</v>
      </c>
      <c r="Z67" s="61">
        <f t="shared" ca="1" si="14"/>
        <v>202.42125726028297</v>
      </c>
      <c r="AA67" s="62">
        <f t="shared" ca="1" si="15"/>
        <v>4.5884265548565735E-2</v>
      </c>
      <c r="AB67" s="49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</row>
    <row r="68" spans="2:45" x14ac:dyDescent="0.25"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8">
        <f>VAR(M14:M15)</f>
        <v>0</v>
      </c>
      <c r="M68" s="58">
        <f ca="1">VAR(N14:N15)</f>
        <v>7.0931113024419928E-2</v>
      </c>
      <c r="N68" s="58">
        <f ca="1">VAR(O14:O15)</f>
        <v>9.5743002981775391E-2</v>
      </c>
      <c r="O68" s="58">
        <f ca="1">VAR(P14:P15)</f>
        <v>4.3586920909166035E-2</v>
      </c>
      <c r="P68" s="49"/>
      <c r="Q68" s="51"/>
      <c r="R68" s="51"/>
      <c r="S68" s="51"/>
      <c r="T68" s="51"/>
      <c r="U68" s="51"/>
      <c r="V68" s="51"/>
      <c r="W68" s="51"/>
      <c r="X68" s="51"/>
      <c r="Y68" s="60">
        <v>2.4</v>
      </c>
      <c r="Z68" s="61">
        <f t="shared" ca="1" si="14"/>
        <v>202.48299310241302</v>
      </c>
      <c r="AA68" s="62">
        <f t="shared" ca="1" si="15"/>
        <v>3.6274762799321993E-2</v>
      </c>
      <c r="AB68" s="49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</row>
    <row r="69" spans="2:45" x14ac:dyDescent="0.25"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49"/>
      <c r="M69" s="49"/>
      <c r="N69" s="49"/>
      <c r="O69" s="49"/>
      <c r="P69" s="49"/>
      <c r="Q69" s="51"/>
      <c r="R69" s="51"/>
      <c r="S69" s="51"/>
      <c r="T69" s="51"/>
      <c r="U69" s="51"/>
      <c r="V69" s="51"/>
      <c r="W69" s="51"/>
      <c r="X69" s="51"/>
      <c r="Y69" s="60">
        <v>2.5000000000000102</v>
      </c>
      <c r="Z69" s="61">
        <f t="shared" ca="1" si="14"/>
        <v>202.5447289445431</v>
      </c>
      <c r="AA69" s="62">
        <f t="shared" ca="1" si="15"/>
        <v>2.8392421466674908E-2</v>
      </c>
      <c r="AB69" s="49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</row>
    <row r="70" spans="2:45" x14ac:dyDescent="0.25"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49" t="e">
        <f>AVERAGE(L62:O68)</f>
        <v>#DIV/0!</v>
      </c>
      <c r="M70" s="49"/>
      <c r="N70" s="49"/>
      <c r="O70" s="49"/>
      <c r="P70" s="49"/>
      <c r="Q70" s="51"/>
      <c r="R70" s="51"/>
      <c r="S70" s="51"/>
      <c r="T70" s="51"/>
      <c r="U70" s="51"/>
      <c r="V70" s="51"/>
      <c r="W70" s="51"/>
      <c r="X70" s="51"/>
      <c r="Y70" s="60">
        <v>2.6</v>
      </c>
      <c r="Z70" s="61">
        <f t="shared" ca="1" si="14"/>
        <v>202.60646478667314</v>
      </c>
      <c r="AA70" s="62">
        <f t="shared" ca="1" si="15"/>
        <v>2.2001755811591962E-2</v>
      </c>
      <c r="AB70" s="49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</row>
    <row r="71" spans="2:45" x14ac:dyDescent="0.25"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49"/>
      <c r="M71" s="49"/>
      <c r="N71" s="49"/>
      <c r="O71" s="49"/>
      <c r="P71" s="49"/>
      <c r="Q71" s="51"/>
      <c r="R71" s="51"/>
      <c r="S71" s="51"/>
      <c r="T71" s="51"/>
      <c r="U71" s="51"/>
      <c r="V71" s="51"/>
      <c r="W71" s="51"/>
      <c r="X71" s="51"/>
      <c r="Y71" s="60">
        <v>2.7</v>
      </c>
      <c r="Z71" s="61">
        <f t="shared" ca="1" si="14"/>
        <v>202.66820062880322</v>
      </c>
      <c r="AA71" s="62">
        <f t="shared" ca="1" si="15"/>
        <v>1.687987796856812E-2</v>
      </c>
      <c r="AB71" s="49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</row>
    <row r="72" spans="2:45" x14ac:dyDescent="0.25"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49"/>
      <c r="M72" s="49"/>
      <c r="N72" s="49"/>
      <c r="O72" s="49"/>
      <c r="P72" s="49"/>
      <c r="Q72" s="51"/>
      <c r="R72" s="51"/>
      <c r="S72" s="51"/>
      <c r="T72" s="51"/>
      <c r="U72" s="51"/>
      <c r="V72" s="51"/>
      <c r="W72" s="51"/>
      <c r="X72" s="51"/>
      <c r="Y72" s="60">
        <v>2.80000000000001</v>
      </c>
      <c r="Z72" s="61">
        <f t="shared" ca="1" si="14"/>
        <v>202.72993647093327</v>
      </c>
      <c r="AA72" s="62">
        <f t="shared" ca="1" si="15"/>
        <v>1.2821484748364413E-2</v>
      </c>
      <c r="AB72" s="49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</row>
    <row r="73" spans="2:45" x14ac:dyDescent="0.25"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9"/>
      <c r="M73" s="49"/>
      <c r="N73" s="49"/>
      <c r="O73" s="49"/>
      <c r="P73" s="49"/>
      <c r="Q73" s="51"/>
      <c r="R73" s="51"/>
      <c r="S73" s="51"/>
      <c r="T73" s="51"/>
      <c r="U73" s="51"/>
      <c r="V73" s="51"/>
      <c r="W73" s="51"/>
      <c r="X73" s="51"/>
      <c r="Y73" s="60">
        <v>2.9000000000000101</v>
      </c>
      <c r="Z73" s="61">
        <f t="shared" ca="1" si="14"/>
        <v>202.79167231306334</v>
      </c>
      <c r="AA73" s="62">
        <f t="shared" ca="1" si="15"/>
        <v>9.6419392923079387E-3</v>
      </c>
      <c r="AB73" s="49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</row>
    <row r="74" spans="2:45" x14ac:dyDescent="0.25"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60">
        <v>3.0000000000000102</v>
      </c>
      <c r="Z74" s="61">
        <f t="shared" ca="1" si="14"/>
        <v>202.85340815519339</v>
      </c>
      <c r="AA74" s="62">
        <f t="shared" ca="1" si="15"/>
        <v>7.1787283675524109E-3</v>
      </c>
      <c r="AB74" s="49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</row>
    <row r="75" spans="2:45" x14ac:dyDescent="0.25"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49"/>
      <c r="Z75" s="49"/>
      <c r="AA75" s="49"/>
      <c r="AB75" s="49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</row>
    <row r="76" spans="2:45" x14ac:dyDescent="0.25"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</row>
    <row r="77" spans="2:45" x14ac:dyDescent="0.25"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</row>
    <row r="78" spans="2:45" x14ac:dyDescent="0.25"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</row>
    <row r="79" spans="2:45" x14ac:dyDescent="0.25"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</row>
    <row r="80" spans="2:45" x14ac:dyDescent="0.25"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</row>
    <row r="81" spans="2:45" x14ac:dyDescent="0.25"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</row>
    <row r="82" spans="2:45" x14ac:dyDescent="0.25"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</row>
    <row r="83" spans="2:45" x14ac:dyDescent="0.25"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3"/>
      <c r="Z83" s="53"/>
      <c r="AA83" s="53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</row>
    <row r="84" spans="2:45" x14ac:dyDescent="0.25"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3"/>
      <c r="Z84" s="53"/>
      <c r="AA84" s="53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</row>
    <row r="85" spans="2:45" x14ac:dyDescent="0.25"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3"/>
      <c r="Z85" s="53"/>
      <c r="AA85" s="53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</row>
    <row r="86" spans="2:45" x14ac:dyDescent="0.25"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3"/>
      <c r="Z86" s="53"/>
      <c r="AA86" s="53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</row>
    <row r="87" spans="2:45" x14ac:dyDescent="0.25"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3"/>
      <c r="Z87" s="53"/>
      <c r="AA87" s="53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</row>
    <row r="88" spans="2:45" x14ac:dyDescent="0.25"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3"/>
      <c r="Z88" s="53"/>
      <c r="AA88" s="53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</row>
    <row r="89" spans="2:45" x14ac:dyDescent="0.25"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3"/>
      <c r="Z89" s="53"/>
      <c r="AA89" s="53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</row>
    <row r="90" spans="2:45" x14ac:dyDescent="0.25"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3"/>
      <c r="Z90" s="53"/>
      <c r="AA90" s="53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</row>
    <row r="91" spans="2:45" x14ac:dyDescent="0.25"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3"/>
      <c r="Z91" s="53"/>
      <c r="AA91" s="53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</row>
    <row r="92" spans="2:45" x14ac:dyDescent="0.25"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3"/>
      <c r="Z92" s="53"/>
      <c r="AA92" s="53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</row>
    <row r="93" spans="2:45" x14ac:dyDescent="0.25"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3"/>
      <c r="Z93" s="53"/>
      <c r="AA93" s="53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</row>
    <row r="94" spans="2:45" x14ac:dyDescent="0.25">
      <c r="B94" s="82"/>
      <c r="C94" s="82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3"/>
      <c r="Z94" s="53"/>
      <c r="AA94" s="53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</row>
    <row r="95" spans="2:45" x14ac:dyDescent="0.25">
      <c r="B95" s="82"/>
      <c r="C95" s="82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3"/>
      <c r="Z95" s="53"/>
      <c r="AA95" s="53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</row>
    <row r="96" spans="2:45" x14ac:dyDescent="0.25">
      <c r="B96" s="82"/>
      <c r="C96" s="82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3"/>
      <c r="Z96" s="53"/>
      <c r="AA96" s="53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</row>
    <row r="97" spans="2:45" x14ac:dyDescent="0.25">
      <c r="B97" s="82"/>
      <c r="C97" s="82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3"/>
      <c r="Z97" s="53"/>
      <c r="AA97" s="53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</row>
    <row r="98" spans="2:45" x14ac:dyDescent="0.25">
      <c r="B98" s="82"/>
      <c r="C98" s="82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3"/>
      <c r="Z98" s="53"/>
      <c r="AA98" s="53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</row>
    <row r="99" spans="2:45" x14ac:dyDescent="0.25">
      <c r="B99" s="82"/>
      <c r="C99" s="82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3"/>
      <c r="Z99" s="53"/>
      <c r="AA99" s="53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</row>
    <row r="100" spans="2:45" x14ac:dyDescent="0.25">
      <c r="B100" s="82"/>
      <c r="C100" s="82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3"/>
      <c r="Z100" s="53"/>
      <c r="AA100" s="53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</row>
    <row r="101" spans="2:45" x14ac:dyDescent="0.25">
      <c r="B101" s="82"/>
      <c r="C101" s="82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3"/>
      <c r="Z101" s="53"/>
      <c r="AA101" s="53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</row>
    <row r="102" spans="2:45" x14ac:dyDescent="0.25">
      <c r="B102" s="82"/>
      <c r="C102" s="82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3"/>
      <c r="Z102" s="53"/>
      <c r="AA102" s="53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</row>
    <row r="103" spans="2:45" x14ac:dyDescent="0.25">
      <c r="B103" s="82"/>
      <c r="C103" s="82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3"/>
      <c r="Z103" s="53"/>
      <c r="AA103" s="53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</row>
    <row r="104" spans="2:45" x14ac:dyDescent="0.25">
      <c r="B104" s="82"/>
      <c r="C104" s="82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3"/>
      <c r="Z104" s="53"/>
      <c r="AA104" s="53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</row>
    <row r="105" spans="2:45" x14ac:dyDescent="0.25">
      <c r="B105" s="82"/>
      <c r="C105" s="82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3"/>
      <c r="Z105" s="53"/>
      <c r="AA105" s="53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</row>
    <row r="106" spans="2:45" x14ac:dyDescent="0.25">
      <c r="B106" s="82"/>
      <c r="C106" s="82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3"/>
      <c r="Z106" s="53"/>
      <c r="AA106" s="53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</row>
    <row r="107" spans="2:45" x14ac:dyDescent="0.25">
      <c r="B107" s="82"/>
      <c r="C107" s="82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3"/>
      <c r="Z107" s="53"/>
      <c r="AA107" s="53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</row>
    <row r="108" spans="2:45" x14ac:dyDescent="0.25">
      <c r="B108" s="82"/>
      <c r="C108" s="82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3"/>
      <c r="Z108" s="53"/>
      <c r="AA108" s="53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</row>
    <row r="109" spans="2:45" x14ac:dyDescent="0.25">
      <c r="B109" s="82"/>
      <c r="C109" s="82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3"/>
      <c r="Z109" s="53"/>
      <c r="AA109" s="53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</row>
    <row r="110" spans="2:45" x14ac:dyDescent="0.25">
      <c r="B110" s="82"/>
      <c r="C110" s="82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3"/>
      <c r="Z110" s="53"/>
      <c r="AA110" s="53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</row>
    <row r="111" spans="2:45" x14ac:dyDescent="0.25">
      <c r="B111" s="82"/>
      <c r="C111" s="82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3"/>
      <c r="Z111" s="53"/>
      <c r="AA111" s="53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</row>
    <row r="112" spans="2:45" x14ac:dyDescent="0.25">
      <c r="B112" s="82"/>
      <c r="C112" s="82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3"/>
      <c r="Z112" s="53"/>
      <c r="AA112" s="53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</row>
    <row r="113" spans="4:45" x14ac:dyDescent="0.25"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3"/>
      <c r="Z113" s="53"/>
      <c r="AA113" s="53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</row>
    <row r="114" spans="4:45" x14ac:dyDescent="0.25"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3"/>
      <c r="Z114" s="53"/>
      <c r="AA114" s="53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</row>
    <row r="115" spans="4:45" x14ac:dyDescent="0.25"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3"/>
      <c r="Z115" s="53"/>
      <c r="AA115" s="53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</row>
    <row r="116" spans="4:45" x14ac:dyDescent="0.25"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3"/>
      <c r="Z116" s="53"/>
      <c r="AA116" s="53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</row>
    <row r="117" spans="4:45" x14ac:dyDescent="0.25"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3"/>
      <c r="Z117" s="53"/>
      <c r="AA117" s="53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</row>
    <row r="118" spans="4:45" x14ac:dyDescent="0.25"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3"/>
      <c r="Z118" s="53"/>
      <c r="AA118" s="53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</row>
    <row r="119" spans="4:45" x14ac:dyDescent="0.25"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3"/>
      <c r="Z119" s="53"/>
      <c r="AA119" s="53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</row>
    <row r="120" spans="4:45" x14ac:dyDescent="0.25"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3"/>
      <c r="Z120" s="53"/>
      <c r="AA120" s="53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</row>
    <row r="121" spans="4:45" x14ac:dyDescent="0.25"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3"/>
      <c r="Z121" s="53"/>
      <c r="AA121" s="53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</row>
    <row r="122" spans="4:45" x14ac:dyDescent="0.25"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3"/>
      <c r="Z122" s="53"/>
      <c r="AA122" s="53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</row>
    <row r="123" spans="4:45" x14ac:dyDescent="0.25"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3"/>
      <c r="Z123" s="53"/>
      <c r="AA123" s="53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</row>
    <row r="124" spans="4:45" x14ac:dyDescent="0.25"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3"/>
      <c r="Z124" s="53"/>
      <c r="AA124" s="53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</row>
    <row r="125" spans="4:45" x14ac:dyDescent="0.25"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3"/>
      <c r="Z125" s="53"/>
      <c r="AA125" s="53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</row>
    <row r="126" spans="4:45" x14ac:dyDescent="0.25"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3"/>
      <c r="Z126" s="53"/>
      <c r="AA126" s="53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</row>
    <row r="127" spans="4:45" x14ac:dyDescent="0.25"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3"/>
      <c r="Z127" s="53"/>
      <c r="AA127" s="53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</row>
    <row r="128" spans="4:45" x14ac:dyDescent="0.25"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3"/>
      <c r="Z128" s="53"/>
      <c r="AA128" s="53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</row>
    <row r="129" spans="4:45" x14ac:dyDescent="0.25"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3"/>
      <c r="Z129" s="53"/>
      <c r="AA129" s="53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</row>
    <row r="130" spans="4:45" x14ac:dyDescent="0.25"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3"/>
      <c r="Z130" s="53"/>
      <c r="AA130" s="53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</row>
    <row r="131" spans="4:45" x14ac:dyDescent="0.25"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3"/>
      <c r="Z131" s="53"/>
      <c r="AA131" s="53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</row>
    <row r="132" spans="4:45" x14ac:dyDescent="0.25"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3"/>
      <c r="Z132" s="53"/>
      <c r="AA132" s="53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</row>
    <row r="133" spans="4:45" x14ac:dyDescent="0.25"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3"/>
      <c r="Z133" s="53"/>
      <c r="AA133" s="53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</row>
    <row r="134" spans="4:45" x14ac:dyDescent="0.25"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3"/>
      <c r="Z134" s="53"/>
      <c r="AA134" s="53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</row>
    <row r="135" spans="4:45" x14ac:dyDescent="0.25"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3"/>
      <c r="Z135" s="53"/>
      <c r="AA135" s="53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</row>
    <row r="136" spans="4:45" x14ac:dyDescent="0.25"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3"/>
      <c r="Z136" s="53"/>
      <c r="AA136" s="53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</row>
    <row r="137" spans="4:45" x14ac:dyDescent="0.25"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3"/>
      <c r="Z137" s="53"/>
      <c r="AA137" s="53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</row>
    <row r="138" spans="4:45" x14ac:dyDescent="0.25"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3"/>
      <c r="Z138" s="53"/>
      <c r="AA138" s="53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</row>
    <row r="139" spans="4:45" x14ac:dyDescent="0.25"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3"/>
      <c r="Z139" s="53"/>
      <c r="AA139" s="53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</row>
    <row r="140" spans="4:45" x14ac:dyDescent="0.25"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3"/>
      <c r="Z140" s="53"/>
      <c r="AA140" s="53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</row>
    <row r="141" spans="4:45" x14ac:dyDescent="0.25"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3"/>
      <c r="Z141" s="53"/>
      <c r="AA141" s="53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</row>
    <row r="142" spans="4:45" x14ac:dyDescent="0.25"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3"/>
      <c r="Z142" s="53"/>
      <c r="AA142" s="53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</row>
    <row r="143" spans="4:45" x14ac:dyDescent="0.25"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3"/>
      <c r="Z143" s="53"/>
      <c r="AA143" s="53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</row>
    <row r="144" spans="4:45" x14ac:dyDescent="0.25"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3"/>
      <c r="Z144" s="53"/>
      <c r="AA144" s="53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</row>
    <row r="145" spans="4:45" x14ac:dyDescent="0.25"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3"/>
      <c r="Z145" s="53"/>
      <c r="AA145" s="53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</row>
    <row r="146" spans="4:45" x14ac:dyDescent="0.25"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3"/>
      <c r="Z146" s="53"/>
      <c r="AA146" s="53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</row>
    <row r="147" spans="4:45" x14ac:dyDescent="0.25"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3"/>
      <c r="Z147" s="53"/>
      <c r="AA147" s="53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</row>
    <row r="148" spans="4:45" x14ac:dyDescent="0.25"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3"/>
      <c r="Z148" s="53"/>
      <c r="AA148" s="53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</row>
    <row r="149" spans="4:45" x14ac:dyDescent="0.25"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3"/>
      <c r="Z149" s="53"/>
      <c r="AA149" s="53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</row>
    <row r="150" spans="4:45" x14ac:dyDescent="0.25"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3"/>
      <c r="Z150" s="53"/>
      <c r="AA150" s="53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</row>
    <row r="151" spans="4:45" x14ac:dyDescent="0.25"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3"/>
      <c r="Z151" s="53"/>
      <c r="AA151" s="53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</row>
    <row r="152" spans="4:45" x14ac:dyDescent="0.25"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3"/>
      <c r="Z152" s="53"/>
      <c r="AA152" s="53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</row>
    <row r="153" spans="4:45" x14ac:dyDescent="0.25"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3"/>
      <c r="Z153" s="53"/>
      <c r="AA153" s="53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</row>
    <row r="154" spans="4:45" x14ac:dyDescent="0.25"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3"/>
      <c r="Z154" s="53"/>
      <c r="AA154" s="53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</row>
    <row r="155" spans="4:45" x14ac:dyDescent="0.25"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3"/>
      <c r="Z155" s="53"/>
      <c r="AA155" s="53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</row>
    <row r="156" spans="4:45" x14ac:dyDescent="0.25"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3"/>
      <c r="Z156" s="53"/>
      <c r="AA156" s="53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</row>
    <row r="157" spans="4:45" x14ac:dyDescent="0.25"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3"/>
      <c r="Z157" s="53"/>
      <c r="AA157" s="53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</row>
    <row r="158" spans="4:45" x14ac:dyDescent="0.25"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3"/>
      <c r="Z158" s="53"/>
      <c r="AA158" s="53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</row>
    <row r="159" spans="4:45" x14ac:dyDescent="0.25"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3"/>
      <c r="Z159" s="53"/>
      <c r="AA159" s="53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</row>
    <row r="160" spans="4:45" x14ac:dyDescent="0.25"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3"/>
      <c r="Z160" s="53"/>
      <c r="AA160" s="53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</row>
    <row r="161" spans="4:45" x14ac:dyDescent="0.25"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3"/>
      <c r="Z161" s="53"/>
      <c r="AA161" s="53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</row>
    <row r="162" spans="4:45" x14ac:dyDescent="0.25"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3"/>
      <c r="Z162" s="53"/>
      <c r="AA162" s="53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</row>
    <row r="163" spans="4:45" x14ac:dyDescent="0.25"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3"/>
      <c r="Z163" s="53"/>
      <c r="AA163" s="53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</row>
    <row r="164" spans="4:45" x14ac:dyDescent="0.25"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3"/>
      <c r="Z164" s="53"/>
      <c r="AA164" s="53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</row>
    <row r="165" spans="4:45" x14ac:dyDescent="0.25"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3"/>
      <c r="Z165" s="53"/>
      <c r="AA165" s="53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</row>
    <row r="166" spans="4:45" x14ac:dyDescent="0.25"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3"/>
      <c r="Z166" s="53"/>
      <c r="AA166" s="53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</row>
    <row r="167" spans="4:45" x14ac:dyDescent="0.25"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3"/>
      <c r="Z167" s="53"/>
      <c r="AA167" s="53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</row>
    <row r="168" spans="4:45" x14ac:dyDescent="0.25"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3"/>
      <c r="Z168" s="53"/>
      <c r="AA168" s="53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</row>
    <row r="169" spans="4:45" x14ac:dyDescent="0.25"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3"/>
      <c r="Z169" s="53"/>
      <c r="AA169" s="53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</row>
    <row r="170" spans="4:45" x14ac:dyDescent="0.25"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3"/>
      <c r="Z170" s="53"/>
      <c r="AA170" s="53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</row>
    <row r="171" spans="4:45" x14ac:dyDescent="0.25"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3"/>
      <c r="Z171" s="53"/>
      <c r="AA171" s="53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</row>
    <row r="172" spans="4:45" x14ac:dyDescent="0.25"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3"/>
      <c r="Z172" s="53"/>
      <c r="AA172" s="53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</row>
    <row r="173" spans="4:45" x14ac:dyDescent="0.25"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3"/>
      <c r="Z173" s="53"/>
      <c r="AA173" s="53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</row>
    <row r="174" spans="4:45" x14ac:dyDescent="0.25"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3"/>
      <c r="Z174" s="53"/>
      <c r="AA174" s="53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</row>
    <row r="175" spans="4:45" x14ac:dyDescent="0.25"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</row>
    <row r="176" spans="4:45" x14ac:dyDescent="0.25"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</row>
    <row r="177" spans="4:45" x14ac:dyDescent="0.25"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</row>
    <row r="178" spans="4:45" x14ac:dyDescent="0.25"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</row>
    <row r="179" spans="4:45" x14ac:dyDescent="0.25"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</row>
    <row r="180" spans="4:45" x14ac:dyDescent="0.25"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</row>
    <row r="181" spans="4:45" x14ac:dyDescent="0.25"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</row>
    <row r="182" spans="4:45" x14ac:dyDescent="0.25"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</row>
    <row r="183" spans="4:45" x14ac:dyDescent="0.25"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</row>
    <row r="184" spans="4:45" x14ac:dyDescent="0.25"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</row>
    <row r="185" spans="4:45" x14ac:dyDescent="0.25"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</row>
    <row r="186" spans="4:45" x14ac:dyDescent="0.25"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</row>
    <row r="187" spans="4:45" x14ac:dyDescent="0.25"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</row>
    <row r="188" spans="4:45" x14ac:dyDescent="0.25"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</row>
    <row r="189" spans="4:45" x14ac:dyDescent="0.25"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</row>
    <row r="190" spans="4:45" x14ac:dyDescent="0.25"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</row>
    <row r="191" spans="4:45" x14ac:dyDescent="0.25"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</row>
    <row r="192" spans="4:45" x14ac:dyDescent="0.25"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</row>
    <row r="193" spans="22:45" x14ac:dyDescent="0.25"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</row>
    <row r="194" spans="22:45" x14ac:dyDescent="0.25"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</row>
    <row r="195" spans="22:45" x14ac:dyDescent="0.25"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</row>
    <row r="196" spans="22:45" x14ac:dyDescent="0.25"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</row>
    <row r="197" spans="22:45" x14ac:dyDescent="0.25"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</row>
    <row r="198" spans="22:45" x14ac:dyDescent="0.25"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</row>
    <row r="199" spans="22:45" x14ac:dyDescent="0.25"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</row>
    <row r="200" spans="22:45" x14ac:dyDescent="0.25"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</row>
    <row r="201" spans="22:45" x14ac:dyDescent="0.25"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</row>
    <row r="202" spans="22:45" x14ac:dyDescent="0.25"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</row>
    <row r="203" spans="22:45" x14ac:dyDescent="0.25"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</row>
    <row r="204" spans="22:45" x14ac:dyDescent="0.25"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</row>
    <row r="205" spans="22:45" x14ac:dyDescent="0.25"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</row>
    <row r="206" spans="22:45" x14ac:dyDescent="0.25"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</row>
    <row r="207" spans="22:45" x14ac:dyDescent="0.25"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</row>
    <row r="208" spans="22:45" x14ac:dyDescent="0.25"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</row>
    <row r="209" spans="22:45" x14ac:dyDescent="0.25"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</row>
    <row r="210" spans="22:45" x14ac:dyDescent="0.25"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</row>
    <row r="211" spans="22:45" x14ac:dyDescent="0.25"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</row>
    <row r="212" spans="22:45" x14ac:dyDescent="0.25"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</row>
    <row r="213" spans="22:45" x14ac:dyDescent="0.25"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</row>
    <row r="214" spans="22:45" x14ac:dyDescent="0.25"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</row>
    <row r="215" spans="22:45" x14ac:dyDescent="0.25"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</row>
    <row r="216" spans="22:45" x14ac:dyDescent="0.25"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</row>
    <row r="217" spans="22:45" x14ac:dyDescent="0.25"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</row>
    <row r="218" spans="22:45" x14ac:dyDescent="0.25"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</row>
    <row r="219" spans="22:45" x14ac:dyDescent="0.25"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</row>
    <row r="220" spans="22:45" x14ac:dyDescent="0.25"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</row>
    <row r="221" spans="22:45" x14ac:dyDescent="0.25"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</row>
    <row r="222" spans="22:45" x14ac:dyDescent="0.25"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</row>
    <row r="223" spans="22:45" x14ac:dyDescent="0.25"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</row>
    <row r="224" spans="22:45" x14ac:dyDescent="0.25"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</row>
    <row r="225" spans="22:45" x14ac:dyDescent="0.25"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</row>
    <row r="226" spans="22:45" x14ac:dyDescent="0.25"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</row>
    <row r="227" spans="22:45" x14ac:dyDescent="0.25"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</row>
    <row r="228" spans="22:45" x14ac:dyDescent="0.25"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</row>
    <row r="229" spans="22:45" x14ac:dyDescent="0.25"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</row>
    <row r="230" spans="22:45" x14ac:dyDescent="0.25"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</row>
    <row r="231" spans="22:45" x14ac:dyDescent="0.25"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</row>
    <row r="232" spans="22:45" x14ac:dyDescent="0.25"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</row>
    <row r="233" spans="22:45" x14ac:dyDescent="0.25"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</row>
    <row r="234" spans="22:45" x14ac:dyDescent="0.25"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</row>
    <row r="235" spans="22:45" x14ac:dyDescent="0.25"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</row>
    <row r="236" spans="22:45" x14ac:dyDescent="0.25"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</row>
    <row r="237" spans="22:45" x14ac:dyDescent="0.25"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</row>
    <row r="238" spans="22:45" x14ac:dyDescent="0.25"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</row>
    <row r="239" spans="22:45" x14ac:dyDescent="0.25"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</row>
    <row r="240" spans="22:45" x14ac:dyDescent="0.25"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</row>
    <row r="241" spans="22:45" x14ac:dyDescent="0.25"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</row>
    <row r="242" spans="22:45" x14ac:dyDescent="0.25"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</row>
    <row r="243" spans="22:45" x14ac:dyDescent="0.25"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</row>
    <row r="244" spans="22:45" x14ac:dyDescent="0.25"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</row>
    <row r="245" spans="22:45" x14ac:dyDescent="0.25"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</row>
    <row r="246" spans="22:45" x14ac:dyDescent="0.25"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</row>
    <row r="247" spans="22:45" x14ac:dyDescent="0.25"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</row>
    <row r="248" spans="22:45" x14ac:dyDescent="0.25"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</row>
    <row r="249" spans="22:45" x14ac:dyDescent="0.25"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</row>
    <row r="250" spans="22:45" x14ac:dyDescent="0.25"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</row>
    <row r="251" spans="22:45" x14ac:dyDescent="0.25"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</row>
    <row r="252" spans="22:45" x14ac:dyDescent="0.25"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</row>
    <row r="253" spans="22:45" x14ac:dyDescent="0.25"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</row>
    <row r="254" spans="22:45" x14ac:dyDescent="0.25"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</row>
    <row r="255" spans="22:45" x14ac:dyDescent="0.25"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</row>
    <row r="256" spans="22:45" x14ac:dyDescent="0.25"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</row>
    <row r="257" spans="22:45" x14ac:dyDescent="0.25"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</row>
    <row r="258" spans="22:45" x14ac:dyDescent="0.25"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</row>
    <row r="259" spans="22:45" x14ac:dyDescent="0.25"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</row>
    <row r="260" spans="22:45" x14ac:dyDescent="0.25"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</row>
    <row r="261" spans="22:45" x14ac:dyDescent="0.25"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</row>
    <row r="262" spans="22:45" x14ac:dyDescent="0.25"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</row>
    <row r="263" spans="22:45" x14ac:dyDescent="0.25"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</row>
    <row r="264" spans="22:45" x14ac:dyDescent="0.25"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</row>
    <row r="265" spans="22:45" x14ac:dyDescent="0.25"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</row>
    <row r="266" spans="22:45" x14ac:dyDescent="0.25"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</row>
    <row r="267" spans="22:45" x14ac:dyDescent="0.25"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</row>
    <row r="268" spans="22:45" x14ac:dyDescent="0.25"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</row>
    <row r="269" spans="22:45" x14ac:dyDescent="0.25"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</row>
    <row r="270" spans="22:45" x14ac:dyDescent="0.25"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</row>
    <row r="271" spans="22:45" x14ac:dyDescent="0.25"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</row>
    <row r="272" spans="22:45" x14ac:dyDescent="0.25"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</row>
    <row r="273" spans="22:45" x14ac:dyDescent="0.25"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</row>
    <row r="274" spans="22:45" x14ac:dyDescent="0.25"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</row>
    <row r="275" spans="22:45" x14ac:dyDescent="0.25"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</row>
    <row r="276" spans="22:45" x14ac:dyDescent="0.25"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</row>
    <row r="277" spans="22:45" x14ac:dyDescent="0.25"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</row>
    <row r="278" spans="22:45" x14ac:dyDescent="0.25"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</row>
    <row r="279" spans="22:45" x14ac:dyDescent="0.25"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</row>
    <row r="280" spans="22:45" x14ac:dyDescent="0.25"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</row>
    <row r="281" spans="22:45" x14ac:dyDescent="0.25"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</row>
    <row r="282" spans="22:45" x14ac:dyDescent="0.25"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</row>
    <row r="283" spans="22:45" x14ac:dyDescent="0.25"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</row>
    <row r="284" spans="22:45" x14ac:dyDescent="0.25"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</row>
    <row r="285" spans="22:45" x14ac:dyDescent="0.25"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</row>
    <row r="286" spans="22:45" x14ac:dyDescent="0.25"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</row>
    <row r="287" spans="22:45" x14ac:dyDescent="0.25"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</row>
    <row r="288" spans="22:45" x14ac:dyDescent="0.25"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</row>
    <row r="289" spans="22:45" x14ac:dyDescent="0.25"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</row>
    <row r="290" spans="22:45" x14ac:dyDescent="0.25"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</row>
    <row r="291" spans="22:45" x14ac:dyDescent="0.25"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</row>
    <row r="292" spans="22:45" x14ac:dyDescent="0.25"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</row>
    <row r="293" spans="22:45" x14ac:dyDescent="0.25"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</row>
    <row r="294" spans="22:45" x14ac:dyDescent="0.25"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</row>
    <row r="295" spans="22:45" x14ac:dyDescent="0.25"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</row>
    <row r="296" spans="22:45" x14ac:dyDescent="0.25"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</row>
    <row r="297" spans="22:45" x14ac:dyDescent="0.25"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</row>
    <row r="298" spans="22:45" x14ac:dyDescent="0.25"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</row>
    <row r="299" spans="22:45" x14ac:dyDescent="0.25"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</row>
    <row r="300" spans="22:45" x14ac:dyDescent="0.25"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</row>
    <row r="301" spans="22:45" x14ac:dyDescent="0.25"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</row>
    <row r="302" spans="22:45" x14ac:dyDescent="0.25"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</row>
    <row r="303" spans="22:45" x14ac:dyDescent="0.25"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</row>
    <row r="304" spans="22:45" x14ac:dyDescent="0.25"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</row>
    <row r="305" spans="22:45" x14ac:dyDescent="0.25"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</row>
    <row r="306" spans="22:45" x14ac:dyDescent="0.25"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</row>
    <row r="307" spans="22:45" x14ac:dyDescent="0.25"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</row>
    <row r="308" spans="22:45" x14ac:dyDescent="0.25"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</row>
    <row r="309" spans="22:45" x14ac:dyDescent="0.25"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</row>
    <row r="310" spans="22:45" x14ac:dyDescent="0.25"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</row>
    <row r="311" spans="22:45" x14ac:dyDescent="0.25"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</row>
    <row r="312" spans="22:45" x14ac:dyDescent="0.25"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</row>
    <row r="313" spans="22:45" x14ac:dyDescent="0.25"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</row>
    <row r="314" spans="22:45" x14ac:dyDescent="0.25"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</row>
    <row r="315" spans="22:45" x14ac:dyDescent="0.25"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</row>
    <row r="316" spans="22:45" x14ac:dyDescent="0.25"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</row>
    <row r="317" spans="22:45" x14ac:dyDescent="0.25"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</row>
    <row r="318" spans="22:45" x14ac:dyDescent="0.25"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</row>
    <row r="319" spans="22:45" x14ac:dyDescent="0.25"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</row>
    <row r="320" spans="22:45" x14ac:dyDescent="0.25"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</row>
    <row r="321" spans="25:45" x14ac:dyDescent="0.25">
      <c r="Y321" s="49"/>
      <c r="Z321" s="49"/>
      <c r="AA321" s="49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</row>
    <row r="322" spans="25:45" x14ac:dyDescent="0.25">
      <c r="Y322" s="49"/>
      <c r="Z322" s="49"/>
      <c r="AA322" s="49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</row>
    <row r="323" spans="25:45" x14ac:dyDescent="0.25">
      <c r="Y323" s="49"/>
      <c r="Z323" s="49"/>
      <c r="AA323" s="49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</row>
    <row r="324" spans="25:45" x14ac:dyDescent="0.25">
      <c r="Y324" s="49"/>
      <c r="Z324" s="49"/>
      <c r="AA324" s="49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</row>
    <row r="325" spans="25:45" x14ac:dyDescent="0.25">
      <c r="Y325" s="49"/>
      <c r="Z325" s="49"/>
      <c r="AA325" s="49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</row>
    <row r="326" spans="25:45" x14ac:dyDescent="0.25">
      <c r="Y326" s="49"/>
      <c r="Z326" s="49"/>
      <c r="AA326" s="49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</row>
    <row r="327" spans="25:45" x14ac:dyDescent="0.25">
      <c r="Y327" s="49"/>
      <c r="Z327" s="49"/>
      <c r="AA327" s="49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</row>
    <row r="328" spans="25:45" x14ac:dyDescent="0.25">
      <c r="Y328" s="49"/>
      <c r="Z328" s="49"/>
      <c r="AA328" s="49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</row>
    <row r="329" spans="25:45" x14ac:dyDescent="0.25">
      <c r="Y329" s="49"/>
      <c r="Z329" s="49"/>
      <c r="AA329" s="49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</row>
    <row r="330" spans="25:45" x14ac:dyDescent="0.25">
      <c r="Y330" s="49"/>
      <c r="Z330" s="49"/>
      <c r="AA330" s="49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</row>
    <row r="331" spans="25:45" x14ac:dyDescent="0.25">
      <c r="Y331" s="49"/>
      <c r="Z331" s="49"/>
      <c r="AA331" s="49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</row>
    <row r="332" spans="25:45" x14ac:dyDescent="0.25">
      <c r="Y332" s="49"/>
      <c r="Z332" s="49"/>
      <c r="AA332" s="49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</row>
    <row r="333" spans="25:45" x14ac:dyDescent="0.25">
      <c r="Y333" s="49"/>
      <c r="Z333" s="49"/>
      <c r="AA333" s="49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</row>
    <row r="334" spans="25:45" x14ac:dyDescent="0.25">
      <c r="Y334" s="49"/>
      <c r="Z334" s="49"/>
      <c r="AA334" s="49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</row>
    <row r="335" spans="25:45" x14ac:dyDescent="0.25">
      <c r="Y335" s="49"/>
      <c r="Z335" s="49"/>
      <c r="AA335" s="49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</row>
    <row r="336" spans="25:45" x14ac:dyDescent="0.25">
      <c r="Y336" s="49"/>
      <c r="Z336" s="49"/>
      <c r="AA336" s="49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</row>
    <row r="337" spans="25:45" x14ac:dyDescent="0.25">
      <c r="Y337" s="49"/>
      <c r="Z337" s="49"/>
      <c r="AA337" s="49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</row>
    <row r="338" spans="25:45" x14ac:dyDescent="0.25">
      <c r="Y338" s="49"/>
      <c r="Z338" s="49"/>
      <c r="AA338" s="49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</row>
    <row r="339" spans="25:45" x14ac:dyDescent="0.25">
      <c r="Y339" s="49"/>
      <c r="Z339" s="49"/>
      <c r="AA339" s="49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</row>
    <row r="340" spans="25:45" x14ac:dyDescent="0.25">
      <c r="Y340" s="49"/>
      <c r="Z340" s="49"/>
      <c r="AA340" s="49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</row>
    <row r="341" spans="25:45" x14ac:dyDescent="0.25">
      <c r="Y341" s="49"/>
      <c r="Z341" s="49"/>
      <c r="AA341" s="49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</row>
    <row r="342" spans="25:45" x14ac:dyDescent="0.25">
      <c r="Y342" s="49"/>
      <c r="Z342" s="49"/>
      <c r="AA342" s="49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</row>
    <row r="343" spans="25:45" x14ac:dyDescent="0.25">
      <c r="Y343" s="49"/>
      <c r="Z343" s="49"/>
      <c r="AA343" s="49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</row>
    <row r="344" spans="25:45" x14ac:dyDescent="0.25">
      <c r="Y344" s="49"/>
      <c r="Z344" s="49"/>
      <c r="AA344" s="49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</row>
    <row r="345" spans="25:45" x14ac:dyDescent="0.25">
      <c r="Y345" s="49"/>
      <c r="Z345" s="49"/>
      <c r="AA345" s="49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</row>
    <row r="346" spans="25:45" x14ac:dyDescent="0.25">
      <c r="Y346" s="49"/>
      <c r="Z346" s="49"/>
      <c r="AA346" s="49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</row>
    <row r="347" spans="25:45" x14ac:dyDescent="0.25">
      <c r="Y347" s="49"/>
      <c r="Z347" s="49"/>
      <c r="AA347" s="49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</row>
    <row r="348" spans="25:45" x14ac:dyDescent="0.25">
      <c r="Y348" s="49"/>
      <c r="Z348" s="49"/>
      <c r="AA348" s="49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</row>
    <row r="349" spans="25:45" x14ac:dyDescent="0.25">
      <c r="Y349" s="49"/>
      <c r="Z349" s="49"/>
      <c r="AA349" s="49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</row>
    <row r="350" spans="25:45" x14ac:dyDescent="0.25">
      <c r="Y350" s="49"/>
      <c r="Z350" s="49"/>
      <c r="AA350" s="49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</row>
    <row r="351" spans="25:45" x14ac:dyDescent="0.25">
      <c r="Y351" s="49"/>
      <c r="Z351" s="49"/>
      <c r="AA351" s="49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</row>
    <row r="352" spans="25:45" x14ac:dyDescent="0.25">
      <c r="Y352" s="49"/>
      <c r="Z352" s="49"/>
      <c r="AA352" s="49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</row>
    <row r="353" spans="25:45" x14ac:dyDescent="0.25">
      <c r="Y353" s="49"/>
      <c r="Z353" s="49"/>
      <c r="AA353" s="49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</row>
    <row r="354" spans="25:45" x14ac:dyDescent="0.25">
      <c r="Y354" s="49"/>
      <c r="Z354" s="49"/>
      <c r="AA354" s="49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</row>
    <row r="355" spans="25:45" x14ac:dyDescent="0.25">
      <c r="Y355" s="49"/>
      <c r="Z355" s="49"/>
      <c r="AA355" s="49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</row>
    <row r="356" spans="25:45" x14ac:dyDescent="0.25">
      <c r="Y356" s="49"/>
      <c r="Z356" s="49"/>
      <c r="AA356" s="49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</row>
    <row r="357" spans="25:45" x14ac:dyDescent="0.25">
      <c r="Y357" s="49"/>
      <c r="Z357" s="49"/>
      <c r="AA357" s="49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</row>
    <row r="358" spans="25:45" x14ac:dyDescent="0.25">
      <c r="Y358" s="49"/>
      <c r="Z358" s="49"/>
      <c r="AA358" s="49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</row>
    <row r="359" spans="25:45" x14ac:dyDescent="0.25">
      <c r="Y359" s="49"/>
      <c r="Z359" s="49"/>
      <c r="AA359" s="49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</row>
    <row r="360" spans="25:45" x14ac:dyDescent="0.25">
      <c r="Y360" s="49"/>
      <c r="Z360" s="49"/>
      <c r="AA360" s="49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</row>
    <row r="361" spans="25:45" x14ac:dyDescent="0.25">
      <c r="Y361" s="49"/>
      <c r="Z361" s="49"/>
      <c r="AA361" s="49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</row>
    <row r="362" spans="25:45" x14ac:dyDescent="0.25">
      <c r="Y362" s="49"/>
      <c r="Z362" s="49"/>
      <c r="AA362" s="49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</row>
    <row r="363" spans="25:45" x14ac:dyDescent="0.25">
      <c r="Y363" s="49"/>
      <c r="Z363" s="49"/>
      <c r="AA363" s="49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</row>
    <row r="364" spans="25:45" x14ac:dyDescent="0.25">
      <c r="Y364" s="49"/>
      <c r="Z364" s="49"/>
      <c r="AA364" s="49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</row>
    <row r="365" spans="25:45" x14ac:dyDescent="0.25">
      <c r="Y365" s="49"/>
      <c r="Z365" s="49"/>
      <c r="AA365" s="49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</row>
    <row r="366" spans="25:45" x14ac:dyDescent="0.25">
      <c r="Y366" s="49"/>
      <c r="Z366" s="49"/>
      <c r="AA366" s="49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</row>
    <row r="367" spans="25:45" x14ac:dyDescent="0.25">
      <c r="Y367" s="49"/>
      <c r="Z367" s="49"/>
      <c r="AA367" s="49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</row>
    <row r="368" spans="25:45" x14ac:dyDescent="0.25">
      <c r="Y368" s="49"/>
      <c r="Z368" s="49"/>
      <c r="AA368" s="49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</row>
    <row r="369" spans="25:45" x14ac:dyDescent="0.25">
      <c r="Y369" s="49"/>
      <c r="Z369" s="49"/>
      <c r="AA369" s="49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</row>
    <row r="370" spans="25:45" x14ac:dyDescent="0.25">
      <c r="Y370" s="49"/>
      <c r="Z370" s="49"/>
      <c r="AA370" s="49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</row>
    <row r="371" spans="25:45" x14ac:dyDescent="0.25">
      <c r="Y371" s="49"/>
      <c r="Z371" s="49"/>
      <c r="AA371" s="49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</row>
    <row r="372" spans="25:45" x14ac:dyDescent="0.25">
      <c r="Y372" s="49"/>
      <c r="Z372" s="49"/>
      <c r="AA372" s="49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</row>
    <row r="373" spans="25:45" x14ac:dyDescent="0.25">
      <c r="Y373" s="49"/>
      <c r="Z373" s="49"/>
      <c r="AA373" s="49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</row>
    <row r="374" spans="25:45" x14ac:dyDescent="0.25">
      <c r="Y374" s="49"/>
      <c r="Z374" s="49"/>
      <c r="AA374" s="49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</row>
    <row r="375" spans="25:45" x14ac:dyDescent="0.25">
      <c r="Y375" s="49"/>
      <c r="Z375" s="49"/>
      <c r="AA375" s="49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</row>
    <row r="376" spans="25:45" x14ac:dyDescent="0.25">
      <c r="Y376" s="49"/>
      <c r="Z376" s="49"/>
      <c r="AA376" s="49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</row>
    <row r="377" spans="25:45" x14ac:dyDescent="0.25">
      <c r="Y377" s="49"/>
      <c r="Z377" s="49"/>
      <c r="AA377" s="49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</row>
    <row r="378" spans="25:45" x14ac:dyDescent="0.25">
      <c r="Y378" s="49"/>
      <c r="Z378" s="49"/>
      <c r="AA378" s="49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</row>
    <row r="379" spans="25:45" x14ac:dyDescent="0.25">
      <c r="Y379" s="49"/>
      <c r="Z379" s="49"/>
      <c r="AA379" s="49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</row>
    <row r="380" spans="25:45" x14ac:dyDescent="0.25">
      <c r="Y380" s="49"/>
      <c r="Z380" s="49"/>
      <c r="AA380" s="49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</row>
    <row r="381" spans="25:45" x14ac:dyDescent="0.25">
      <c r="Y381" s="49"/>
      <c r="Z381" s="49"/>
      <c r="AA381" s="49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</row>
    <row r="382" spans="25:45" x14ac:dyDescent="0.25">
      <c r="Y382" s="49"/>
      <c r="Z382" s="49"/>
      <c r="AA382" s="49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</row>
    <row r="383" spans="25:45" x14ac:dyDescent="0.25">
      <c r="Y383" s="49"/>
      <c r="Z383" s="49"/>
      <c r="AA383" s="49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</row>
    <row r="384" spans="25:45" x14ac:dyDescent="0.25">
      <c r="Y384" s="49"/>
      <c r="Z384" s="49"/>
      <c r="AA384" s="49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</row>
    <row r="385" spans="25:45" x14ac:dyDescent="0.25">
      <c r="Y385" s="49"/>
      <c r="Z385" s="49"/>
      <c r="AA385" s="49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</row>
    <row r="386" spans="25:45" x14ac:dyDescent="0.25">
      <c r="Y386" s="49"/>
      <c r="Z386" s="49"/>
      <c r="AA386" s="49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</row>
    <row r="387" spans="25:45" x14ac:dyDescent="0.25">
      <c r="Y387" s="49"/>
      <c r="Z387" s="49"/>
      <c r="AA387" s="49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</row>
    <row r="388" spans="25:45" x14ac:dyDescent="0.25">
      <c r="Y388" s="49"/>
      <c r="Z388" s="49"/>
      <c r="AA388" s="49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</row>
    <row r="389" spans="25:45" x14ac:dyDescent="0.25">
      <c r="Y389" s="49"/>
      <c r="Z389" s="49"/>
      <c r="AA389" s="49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</row>
    <row r="390" spans="25:45" x14ac:dyDescent="0.25">
      <c r="Y390" s="49"/>
      <c r="Z390" s="49"/>
      <c r="AA390" s="49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</row>
    <row r="391" spans="25:45" x14ac:dyDescent="0.25">
      <c r="Y391" s="49"/>
      <c r="Z391" s="49"/>
      <c r="AA391" s="49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</row>
    <row r="392" spans="25:45" x14ac:dyDescent="0.25">
      <c r="Y392" s="49"/>
      <c r="Z392" s="49"/>
      <c r="AA392" s="49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</row>
    <row r="393" spans="25:45" x14ac:dyDescent="0.25">
      <c r="Y393" s="49"/>
      <c r="Z393" s="49"/>
      <c r="AA393" s="49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</row>
    <row r="394" spans="25:45" x14ac:dyDescent="0.25">
      <c r="Y394" s="49"/>
      <c r="Z394" s="49"/>
      <c r="AA394" s="49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</row>
    <row r="395" spans="25:45" x14ac:dyDescent="0.25">
      <c r="Y395" s="49"/>
      <c r="Z395" s="49"/>
      <c r="AA395" s="49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</row>
    <row r="396" spans="25:45" x14ac:dyDescent="0.25">
      <c r="Y396" s="49"/>
      <c r="Z396" s="49"/>
      <c r="AA396" s="49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</row>
    <row r="397" spans="25:45" x14ac:dyDescent="0.25">
      <c r="Y397" s="49"/>
      <c r="Z397" s="49"/>
      <c r="AA397" s="49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</row>
    <row r="398" spans="25:45" x14ac:dyDescent="0.25">
      <c r="Y398" s="49"/>
      <c r="Z398" s="49"/>
      <c r="AA398" s="49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</row>
    <row r="399" spans="25:45" x14ac:dyDescent="0.25">
      <c r="Y399" s="49"/>
      <c r="Z399" s="49"/>
      <c r="AA399" s="49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</row>
    <row r="400" spans="25:45" x14ac:dyDescent="0.25">
      <c r="Y400" s="49"/>
      <c r="Z400" s="49"/>
      <c r="AA400" s="49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</row>
    <row r="401" spans="25:45" x14ac:dyDescent="0.25">
      <c r="Y401" s="49"/>
      <c r="Z401" s="49"/>
      <c r="AA401" s="49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</row>
    <row r="402" spans="25:45" x14ac:dyDescent="0.25">
      <c r="Y402" s="49"/>
      <c r="Z402" s="49"/>
      <c r="AA402" s="49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</row>
    <row r="403" spans="25:45" x14ac:dyDescent="0.25">
      <c r="Y403" s="49"/>
      <c r="Z403" s="49"/>
      <c r="AA403" s="49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</row>
    <row r="404" spans="25:45" x14ac:dyDescent="0.25">
      <c r="Y404" s="49"/>
      <c r="Z404" s="49"/>
      <c r="AA404" s="49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</row>
    <row r="405" spans="25:45" x14ac:dyDescent="0.25">
      <c r="Y405" s="49"/>
      <c r="Z405" s="49"/>
      <c r="AA405" s="49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</row>
    <row r="406" spans="25:45" x14ac:dyDescent="0.25">
      <c r="Y406" s="49"/>
      <c r="Z406" s="49"/>
      <c r="AA406" s="49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</row>
    <row r="407" spans="25:45" x14ac:dyDescent="0.25">
      <c r="Y407" s="49"/>
      <c r="Z407" s="49"/>
      <c r="AA407" s="49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</row>
    <row r="408" spans="25:45" x14ac:dyDescent="0.25">
      <c r="Y408" s="49"/>
      <c r="Z408" s="49"/>
      <c r="AA408" s="49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</row>
    <row r="409" spans="25:45" x14ac:dyDescent="0.25">
      <c r="Y409" s="49"/>
      <c r="Z409" s="49"/>
      <c r="AA409" s="49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</row>
    <row r="410" spans="25:45" x14ac:dyDescent="0.25">
      <c r="Y410" s="49"/>
      <c r="Z410" s="49"/>
      <c r="AA410" s="49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</row>
    <row r="411" spans="25:45" x14ac:dyDescent="0.25">
      <c r="Y411" s="49"/>
      <c r="Z411" s="49"/>
      <c r="AA411" s="49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</row>
    <row r="412" spans="25:45" x14ac:dyDescent="0.25">
      <c r="Y412" s="49"/>
      <c r="Z412" s="49"/>
      <c r="AA412" s="49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</row>
    <row r="413" spans="25:45" x14ac:dyDescent="0.25">
      <c r="Y413" s="49"/>
      <c r="Z413" s="49"/>
      <c r="AA413" s="49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</row>
    <row r="414" spans="25:45" x14ac:dyDescent="0.25">
      <c r="Y414" s="49"/>
      <c r="Z414" s="49"/>
      <c r="AA414" s="49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</row>
    <row r="415" spans="25:45" x14ac:dyDescent="0.25">
      <c r="Y415" s="49"/>
      <c r="Z415" s="49"/>
      <c r="AA415" s="49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</row>
    <row r="416" spans="25:45" x14ac:dyDescent="0.25">
      <c r="Y416" s="49"/>
      <c r="Z416" s="49"/>
      <c r="AA416" s="49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</row>
    <row r="417" spans="25:45" x14ac:dyDescent="0.25">
      <c r="Y417" s="49"/>
      <c r="Z417" s="49"/>
      <c r="AA417" s="49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</row>
    <row r="418" spans="25:45" x14ac:dyDescent="0.25">
      <c r="Y418" s="49"/>
      <c r="Z418" s="49"/>
      <c r="AA418" s="49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</row>
    <row r="419" spans="25:45" x14ac:dyDescent="0.25">
      <c r="Y419" s="49"/>
      <c r="Z419" s="49"/>
      <c r="AA419" s="49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</row>
    <row r="420" spans="25:45" x14ac:dyDescent="0.25">
      <c r="Y420" s="49"/>
      <c r="Z420" s="49"/>
      <c r="AA420" s="49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</row>
    <row r="421" spans="25:45" x14ac:dyDescent="0.25">
      <c r="Y421" s="49"/>
      <c r="Z421" s="49"/>
      <c r="AA421" s="49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</row>
    <row r="422" spans="25:45" x14ac:dyDescent="0.25">
      <c r="Y422" s="49"/>
      <c r="Z422" s="49"/>
      <c r="AA422" s="49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</row>
    <row r="423" spans="25:45" x14ac:dyDescent="0.25">
      <c r="Y423" s="49"/>
      <c r="Z423" s="49"/>
      <c r="AA423" s="49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</row>
    <row r="424" spans="25:45" x14ac:dyDescent="0.25">
      <c r="Y424" s="49"/>
      <c r="Z424" s="49"/>
      <c r="AA424" s="49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</row>
    <row r="425" spans="25:45" x14ac:dyDescent="0.25">
      <c r="Y425" s="49"/>
      <c r="Z425" s="49"/>
      <c r="AA425" s="49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</row>
    <row r="426" spans="25:45" x14ac:dyDescent="0.25">
      <c r="Y426" s="49"/>
      <c r="Z426" s="49"/>
      <c r="AA426" s="49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</row>
    <row r="427" spans="25:45" x14ac:dyDescent="0.25">
      <c r="Y427" s="49"/>
      <c r="Z427" s="49"/>
      <c r="AA427" s="49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</row>
    <row r="428" spans="25:45" x14ac:dyDescent="0.25">
      <c r="Y428" s="49"/>
      <c r="Z428" s="49"/>
      <c r="AA428" s="49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</row>
    <row r="429" spans="25:45" x14ac:dyDescent="0.25">
      <c r="Y429" s="49"/>
      <c r="Z429" s="49"/>
      <c r="AA429" s="49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</row>
    <row r="430" spans="25:45" x14ac:dyDescent="0.25">
      <c r="Y430" s="49"/>
      <c r="Z430" s="49"/>
      <c r="AA430" s="49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</row>
    <row r="431" spans="25:45" x14ac:dyDescent="0.25">
      <c r="Y431" s="49"/>
      <c r="Z431" s="49"/>
      <c r="AA431" s="49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</row>
    <row r="432" spans="25:45" x14ac:dyDescent="0.25">
      <c r="Y432" s="49"/>
      <c r="Z432" s="49"/>
      <c r="AA432" s="49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</row>
    <row r="433" spans="25:45" x14ac:dyDescent="0.25">
      <c r="Y433" s="49"/>
      <c r="Z433" s="49"/>
      <c r="AA433" s="49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</row>
    <row r="434" spans="25:45" x14ac:dyDescent="0.25">
      <c r="Y434" s="49"/>
      <c r="Z434" s="49"/>
      <c r="AA434" s="49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</row>
    <row r="435" spans="25:45" x14ac:dyDescent="0.25">
      <c r="Y435" s="49"/>
      <c r="Z435" s="49"/>
      <c r="AA435" s="49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</row>
    <row r="436" spans="25:45" x14ac:dyDescent="0.25">
      <c r="Y436" s="49"/>
      <c r="Z436" s="49"/>
      <c r="AA436" s="49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</row>
    <row r="437" spans="25:45" x14ac:dyDescent="0.25">
      <c r="Y437" s="49"/>
      <c r="Z437" s="49"/>
      <c r="AA437" s="49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</row>
    <row r="438" spans="25:45" x14ac:dyDescent="0.25">
      <c r="Y438" s="49"/>
      <c r="Z438" s="49"/>
      <c r="AA438" s="49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</row>
    <row r="439" spans="25:45" x14ac:dyDescent="0.25">
      <c r="Y439" s="49"/>
      <c r="Z439" s="49"/>
      <c r="AA439" s="49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</row>
    <row r="440" spans="25:45" x14ac:dyDescent="0.25">
      <c r="Y440" s="49"/>
      <c r="Z440" s="49"/>
      <c r="AA440" s="49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</row>
    <row r="441" spans="25:45" x14ac:dyDescent="0.25"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</row>
    <row r="442" spans="25:45" x14ac:dyDescent="0.25"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</row>
    <row r="443" spans="25:45" x14ac:dyDescent="0.25"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</row>
    <row r="444" spans="25:45" x14ac:dyDescent="0.25"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</row>
    <row r="445" spans="25:45" x14ac:dyDescent="0.25"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</row>
    <row r="446" spans="25:45" x14ac:dyDescent="0.25"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</row>
    <row r="447" spans="25:45" x14ac:dyDescent="0.25"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</row>
    <row r="448" spans="25:45" x14ac:dyDescent="0.25"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</row>
    <row r="449" spans="26:45" x14ac:dyDescent="0.25"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</row>
    <row r="450" spans="26:45" x14ac:dyDescent="0.25"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</row>
    <row r="451" spans="26:45" x14ac:dyDescent="0.25"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</row>
    <row r="452" spans="26:45" x14ac:dyDescent="0.25"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</row>
    <row r="453" spans="26:45" x14ac:dyDescent="0.25"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</row>
    <row r="454" spans="26:45" x14ac:dyDescent="0.25"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</row>
    <row r="455" spans="26:45" x14ac:dyDescent="0.25"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</row>
    <row r="456" spans="26:45" x14ac:dyDescent="0.25"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</row>
    <row r="457" spans="26:45" x14ac:dyDescent="0.25"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</row>
    <row r="458" spans="26:45" x14ac:dyDescent="0.25"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</row>
    <row r="459" spans="26:45" x14ac:dyDescent="0.25"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</row>
    <row r="460" spans="26:45" x14ac:dyDescent="0.25"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</row>
    <row r="461" spans="26:45" x14ac:dyDescent="0.25"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</row>
    <row r="462" spans="26:45" x14ac:dyDescent="0.25"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</row>
    <row r="463" spans="26:45" x14ac:dyDescent="0.25"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</row>
    <row r="464" spans="26:45" x14ac:dyDescent="0.25"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</row>
    <row r="465" spans="26:45" x14ac:dyDescent="0.25"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</row>
    <row r="466" spans="26:45" x14ac:dyDescent="0.25"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</row>
    <row r="467" spans="26:45" x14ac:dyDescent="0.25"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</row>
    <row r="468" spans="26:45" x14ac:dyDescent="0.25"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</row>
    <row r="469" spans="26:45" x14ac:dyDescent="0.25"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</row>
    <row r="470" spans="26:45" x14ac:dyDescent="0.25"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</row>
    <row r="471" spans="26:45" x14ac:dyDescent="0.25"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</row>
    <row r="472" spans="26:45" x14ac:dyDescent="0.25"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</row>
    <row r="473" spans="26:45" x14ac:dyDescent="0.25"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</row>
    <row r="474" spans="26:45" x14ac:dyDescent="0.25"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</row>
    <row r="475" spans="26:45" x14ac:dyDescent="0.25"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</row>
    <row r="476" spans="26:45" x14ac:dyDescent="0.25"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</row>
    <row r="477" spans="26:45" x14ac:dyDescent="0.25"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</row>
    <row r="478" spans="26:45" x14ac:dyDescent="0.25"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</row>
    <row r="479" spans="26:45" x14ac:dyDescent="0.25"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</row>
    <row r="480" spans="26:45" x14ac:dyDescent="0.25"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</row>
    <row r="481" spans="26:45" x14ac:dyDescent="0.25"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</row>
    <row r="482" spans="26:45" x14ac:dyDescent="0.25"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</row>
    <row r="483" spans="26:45" x14ac:dyDescent="0.25"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</row>
    <row r="484" spans="26:45" x14ac:dyDescent="0.25"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</row>
    <row r="485" spans="26:45" x14ac:dyDescent="0.25"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</row>
    <row r="486" spans="26:45" x14ac:dyDescent="0.25"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</row>
    <row r="487" spans="26:45" x14ac:dyDescent="0.25"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</row>
    <row r="488" spans="26:45" x14ac:dyDescent="0.25"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</row>
    <row r="489" spans="26:45" x14ac:dyDescent="0.25"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</row>
    <row r="490" spans="26:45" x14ac:dyDescent="0.25"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</row>
    <row r="491" spans="26:45" x14ac:dyDescent="0.25"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</row>
    <row r="492" spans="26:45" x14ac:dyDescent="0.25"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</row>
    <row r="493" spans="26:45" x14ac:dyDescent="0.25"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</row>
    <row r="494" spans="26:45" x14ac:dyDescent="0.25"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</row>
    <row r="495" spans="26:45" x14ac:dyDescent="0.25"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</row>
    <row r="496" spans="26:45" x14ac:dyDescent="0.25"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</row>
    <row r="497" spans="26:45" x14ac:dyDescent="0.25"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</row>
    <row r="498" spans="26:45" x14ac:dyDescent="0.25"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</row>
    <row r="499" spans="26:45" x14ac:dyDescent="0.25"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</row>
    <row r="500" spans="26:45" x14ac:dyDescent="0.25"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</row>
    <row r="501" spans="26:45" x14ac:dyDescent="0.25"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</row>
    <row r="502" spans="26:45" x14ac:dyDescent="0.25"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</row>
    <row r="503" spans="26:45" x14ac:dyDescent="0.25"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</row>
    <row r="504" spans="26:45" x14ac:dyDescent="0.25"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</row>
    <row r="505" spans="26:45" x14ac:dyDescent="0.25"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</row>
    <row r="506" spans="26:45" x14ac:dyDescent="0.25"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</row>
    <row r="507" spans="26:45" x14ac:dyDescent="0.25"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</row>
    <row r="508" spans="26:45" x14ac:dyDescent="0.25"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</row>
    <row r="509" spans="26:45" x14ac:dyDescent="0.25"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</row>
    <row r="510" spans="26:45" x14ac:dyDescent="0.25"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</row>
    <row r="511" spans="26:45" x14ac:dyDescent="0.25"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</row>
    <row r="512" spans="26:45" x14ac:dyDescent="0.25"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</row>
    <row r="513" spans="26:45" x14ac:dyDescent="0.25"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</row>
    <row r="514" spans="26:45" x14ac:dyDescent="0.25"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</row>
    <row r="515" spans="26:45" x14ac:dyDescent="0.25"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</row>
    <row r="516" spans="26:45" x14ac:dyDescent="0.25"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</row>
    <row r="517" spans="26:45" x14ac:dyDescent="0.25"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</row>
    <row r="518" spans="26:45" x14ac:dyDescent="0.25"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</row>
    <row r="519" spans="26:45" x14ac:dyDescent="0.25"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</row>
    <row r="520" spans="26:45" x14ac:dyDescent="0.25"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</row>
    <row r="521" spans="26:45" x14ac:dyDescent="0.25"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</row>
    <row r="522" spans="26:45" x14ac:dyDescent="0.25"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</row>
    <row r="523" spans="26:45" x14ac:dyDescent="0.25"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</row>
    <row r="524" spans="26:45" x14ac:dyDescent="0.25"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</row>
    <row r="525" spans="26:45" x14ac:dyDescent="0.25"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</row>
    <row r="526" spans="26:45" x14ac:dyDescent="0.25"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</row>
    <row r="527" spans="26:45" x14ac:dyDescent="0.25"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</row>
    <row r="528" spans="26:45" x14ac:dyDescent="0.25"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</row>
    <row r="529" spans="26:45" x14ac:dyDescent="0.25"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</row>
    <row r="530" spans="26:45" x14ac:dyDescent="0.25"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</row>
    <row r="531" spans="26:45" x14ac:dyDescent="0.25"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</row>
    <row r="532" spans="26:45" x14ac:dyDescent="0.25"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</row>
    <row r="533" spans="26:45" x14ac:dyDescent="0.25"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</row>
    <row r="534" spans="26:45" x14ac:dyDescent="0.25"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</row>
    <row r="535" spans="26:45" x14ac:dyDescent="0.25"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</row>
    <row r="536" spans="26:45" x14ac:dyDescent="0.25"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</row>
    <row r="537" spans="26:45" x14ac:dyDescent="0.25"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</row>
    <row r="538" spans="26:45" x14ac:dyDescent="0.25"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</row>
    <row r="539" spans="26:45" x14ac:dyDescent="0.25"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</row>
    <row r="540" spans="26:45" x14ac:dyDescent="0.25"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</row>
    <row r="541" spans="26:45" x14ac:dyDescent="0.25"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</row>
    <row r="542" spans="26:45" x14ac:dyDescent="0.25"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</row>
    <row r="543" spans="26:45" x14ac:dyDescent="0.25"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</row>
    <row r="544" spans="26:45" x14ac:dyDescent="0.25"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</row>
    <row r="545" spans="26:45" x14ac:dyDescent="0.25"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</row>
    <row r="546" spans="26:45" x14ac:dyDescent="0.25"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</row>
    <row r="547" spans="26:45" x14ac:dyDescent="0.25"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</row>
    <row r="548" spans="26:45" x14ac:dyDescent="0.25"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</row>
    <row r="549" spans="26:45" x14ac:dyDescent="0.25"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</row>
    <row r="550" spans="26:45" x14ac:dyDescent="0.25"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</row>
    <row r="551" spans="26:45" x14ac:dyDescent="0.25"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</row>
    <row r="552" spans="26:45" x14ac:dyDescent="0.25"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</row>
    <row r="553" spans="26:45" x14ac:dyDescent="0.25"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</row>
    <row r="554" spans="26:45" x14ac:dyDescent="0.25"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</row>
    <row r="555" spans="26:45" x14ac:dyDescent="0.25"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</row>
    <row r="556" spans="26:45" x14ac:dyDescent="0.25"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</row>
    <row r="557" spans="26:45" x14ac:dyDescent="0.25"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</row>
    <row r="558" spans="26:45" x14ac:dyDescent="0.25"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</row>
    <row r="559" spans="26:45" x14ac:dyDescent="0.25"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</row>
    <row r="560" spans="26:45" x14ac:dyDescent="0.25"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</row>
    <row r="561" spans="26:45" x14ac:dyDescent="0.25"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</row>
    <row r="562" spans="26:45" x14ac:dyDescent="0.25"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</row>
    <row r="563" spans="26:45" x14ac:dyDescent="0.25"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</row>
    <row r="564" spans="26:45" x14ac:dyDescent="0.25"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</row>
    <row r="565" spans="26:45" x14ac:dyDescent="0.25"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</row>
    <row r="566" spans="26:45" x14ac:dyDescent="0.25"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</row>
    <row r="567" spans="26:45" x14ac:dyDescent="0.25"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</row>
    <row r="568" spans="26:45" x14ac:dyDescent="0.25"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</row>
    <row r="569" spans="26:45" x14ac:dyDescent="0.25"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</row>
    <row r="570" spans="26:45" x14ac:dyDescent="0.25"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</row>
    <row r="571" spans="26:45" x14ac:dyDescent="0.25"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</row>
    <row r="572" spans="26:45" x14ac:dyDescent="0.25"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</row>
    <row r="573" spans="26:45" x14ac:dyDescent="0.25"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</row>
    <row r="574" spans="26:45" x14ac:dyDescent="0.25"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</row>
    <row r="575" spans="26:45" x14ac:dyDescent="0.25"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</row>
    <row r="576" spans="26:45" x14ac:dyDescent="0.25"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</row>
    <row r="577" spans="26:45" x14ac:dyDescent="0.25"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</row>
    <row r="578" spans="26:45" x14ac:dyDescent="0.25"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</row>
    <row r="579" spans="26:45" x14ac:dyDescent="0.25"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</row>
    <row r="580" spans="26:45" x14ac:dyDescent="0.25"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</row>
    <row r="581" spans="26:45" x14ac:dyDescent="0.25"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</row>
    <row r="582" spans="26:45" x14ac:dyDescent="0.25"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</row>
    <row r="583" spans="26:45" x14ac:dyDescent="0.25"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</row>
    <row r="584" spans="26:45" x14ac:dyDescent="0.25"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</row>
    <row r="585" spans="26:45" x14ac:dyDescent="0.25"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</row>
    <row r="586" spans="26:45" x14ac:dyDescent="0.25"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</row>
    <row r="587" spans="26:45" x14ac:dyDescent="0.25"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</row>
    <row r="588" spans="26:45" x14ac:dyDescent="0.25"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</row>
    <row r="589" spans="26:45" x14ac:dyDescent="0.25"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</row>
    <row r="590" spans="26:45" x14ac:dyDescent="0.25"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</row>
    <row r="591" spans="26:45" x14ac:dyDescent="0.25"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</row>
    <row r="592" spans="26:45" x14ac:dyDescent="0.25"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</row>
    <row r="593" spans="26:45" x14ac:dyDescent="0.25"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</row>
    <row r="594" spans="26:45" x14ac:dyDescent="0.25"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</row>
    <row r="595" spans="26:45" x14ac:dyDescent="0.25"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</row>
    <row r="596" spans="26:45" x14ac:dyDescent="0.25"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</row>
    <row r="597" spans="26:45" x14ac:dyDescent="0.25"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</row>
    <row r="598" spans="26:45" x14ac:dyDescent="0.25"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</row>
    <row r="599" spans="26:45" x14ac:dyDescent="0.25"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</row>
    <row r="600" spans="26:45" x14ac:dyDescent="0.25"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</row>
    <row r="601" spans="26:45" x14ac:dyDescent="0.25"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</row>
    <row r="602" spans="26:45" x14ac:dyDescent="0.25"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</row>
    <row r="603" spans="26:45" x14ac:dyDescent="0.25"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</row>
    <row r="604" spans="26:45" x14ac:dyDescent="0.25"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</row>
    <row r="605" spans="26:45" x14ac:dyDescent="0.25"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</row>
    <row r="606" spans="26:45" x14ac:dyDescent="0.25"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</row>
    <row r="607" spans="26:45" x14ac:dyDescent="0.25"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</row>
    <row r="608" spans="26:45" x14ac:dyDescent="0.25"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</row>
    <row r="609" spans="26:45" x14ac:dyDescent="0.25"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</row>
    <row r="610" spans="26:45" x14ac:dyDescent="0.25"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</row>
    <row r="611" spans="26:45" x14ac:dyDescent="0.25"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</row>
    <row r="612" spans="26:45" x14ac:dyDescent="0.25"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</row>
    <row r="613" spans="26:45" x14ac:dyDescent="0.25"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</row>
    <row r="614" spans="26:45" x14ac:dyDescent="0.25"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</row>
    <row r="615" spans="26:45" x14ac:dyDescent="0.25"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</row>
    <row r="616" spans="26:45" x14ac:dyDescent="0.25"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</row>
    <row r="617" spans="26:45" x14ac:dyDescent="0.25"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</row>
    <row r="618" spans="26:45" x14ac:dyDescent="0.25"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</row>
    <row r="619" spans="26:45" x14ac:dyDescent="0.25"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</row>
    <row r="620" spans="26:45" x14ac:dyDescent="0.25"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</row>
    <row r="621" spans="26:45" x14ac:dyDescent="0.25"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</row>
    <row r="622" spans="26:45" x14ac:dyDescent="0.25"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</row>
    <row r="623" spans="26:45" x14ac:dyDescent="0.25"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</row>
    <row r="624" spans="26:45" x14ac:dyDescent="0.25"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</row>
    <row r="625" spans="26:45" x14ac:dyDescent="0.25"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</row>
    <row r="626" spans="26:45" x14ac:dyDescent="0.25"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</row>
    <row r="627" spans="26:45" x14ac:dyDescent="0.25"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</row>
    <row r="628" spans="26:45" x14ac:dyDescent="0.25"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</row>
    <row r="629" spans="26:45" x14ac:dyDescent="0.25"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</row>
    <row r="630" spans="26:45" x14ac:dyDescent="0.25"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</row>
    <row r="631" spans="26:45" x14ac:dyDescent="0.25"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</row>
    <row r="632" spans="26:45" x14ac:dyDescent="0.25"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</row>
    <row r="633" spans="26:45" x14ac:dyDescent="0.25"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</row>
    <row r="634" spans="26:45" x14ac:dyDescent="0.25"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</row>
    <row r="635" spans="26:45" x14ac:dyDescent="0.25"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</row>
    <row r="636" spans="26:45" x14ac:dyDescent="0.25"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</row>
  </sheetData>
  <protectedRanges>
    <protectedRange sqref="G3:M5 T8:T9 D7:E17 N8:Q8" name="Plage1"/>
  </protectedRanges>
  <mergeCells count="6">
    <mergeCell ref="F2:H2"/>
    <mergeCell ref="Z10:AA10"/>
    <mergeCell ref="E38:H38"/>
    <mergeCell ref="N7:Q7"/>
    <mergeCell ref="G7:M7"/>
    <mergeCell ref="I38:O38"/>
  </mergeCells>
  <pageMargins left="0.7" right="0.7" top="0.75" bottom="0.75" header="0.3" footer="0.3"/>
  <ignoredErrors>
    <ignoredError sqref="N12:Q12 N13:Q13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3614-721A-4CEC-97CD-C62726E4218B}">
  <dimension ref="B1:AS636"/>
  <sheetViews>
    <sheetView showGridLines="0" tabSelected="1" zoomScale="85" zoomScaleNormal="85" workbookViewId="0">
      <selection activeCell="D3" sqref="A2:D3"/>
    </sheetView>
  </sheetViews>
  <sheetFormatPr baseColWidth="10" defaultColWidth="10.85546875" defaultRowHeight="15" x14ac:dyDescent="0.25"/>
  <cols>
    <col min="1" max="1" width="5.5703125" style="38" customWidth="1"/>
    <col min="2" max="4" width="10.85546875" style="38"/>
    <col min="5" max="5" width="19.28515625" style="38" customWidth="1"/>
    <col min="6" max="11" width="10.85546875" style="38"/>
    <col min="12" max="12" width="11.140625" style="38" bestFit="1" customWidth="1"/>
    <col min="13" max="13" width="12.28515625" style="38" bestFit="1" customWidth="1"/>
    <col min="14" max="14" width="11" style="38" customWidth="1"/>
    <col min="15" max="15" width="10.5703125" style="38" customWidth="1"/>
    <col min="16" max="16" width="10.85546875" style="38"/>
    <col min="17" max="17" width="8.85546875" style="38" customWidth="1"/>
    <col min="18" max="18" width="9.42578125" style="38" customWidth="1"/>
    <col min="19" max="19" width="11.42578125" style="38" customWidth="1"/>
    <col min="20" max="16384" width="10.85546875" style="38"/>
  </cols>
  <sheetData>
    <row r="1" spans="2:45" ht="15.75" thickBot="1" x14ac:dyDescent="0.3"/>
    <row r="2" spans="2:45" x14ac:dyDescent="0.25">
      <c r="B2" s="39"/>
      <c r="C2" s="40"/>
      <c r="D2" s="40"/>
      <c r="E2" s="40"/>
      <c r="F2" s="192"/>
      <c r="G2" s="192"/>
      <c r="H2" s="192"/>
      <c r="I2" s="92"/>
      <c r="J2" s="92"/>
      <c r="K2" s="92"/>
      <c r="L2" s="92"/>
      <c r="M2" s="92"/>
      <c r="N2" s="92"/>
      <c r="O2" s="92"/>
      <c r="P2" s="40"/>
      <c r="Q2" s="40"/>
      <c r="R2" s="40"/>
      <c r="S2" s="40"/>
      <c r="T2" s="40"/>
      <c r="U2" s="41"/>
    </row>
    <row r="3" spans="2:45" x14ac:dyDescent="0.25">
      <c r="B3" s="42"/>
      <c r="C3" s="43"/>
      <c r="D3" s="43"/>
      <c r="E3" s="43"/>
      <c r="F3" s="95"/>
      <c r="G3" s="71" t="s">
        <v>74</v>
      </c>
      <c r="H3" s="71" t="s">
        <v>106</v>
      </c>
      <c r="I3" s="71" t="s">
        <v>105</v>
      </c>
      <c r="J3" s="71" t="s">
        <v>107</v>
      </c>
      <c r="K3" s="71" t="s">
        <v>100</v>
      </c>
      <c r="L3" s="71" t="s">
        <v>73</v>
      </c>
      <c r="M3" s="71" t="s">
        <v>108</v>
      </c>
      <c r="N3" s="93" t="s">
        <v>92</v>
      </c>
      <c r="O3" s="93"/>
      <c r="P3" s="43"/>
      <c r="Q3" s="43"/>
      <c r="R3" s="43"/>
      <c r="S3" s="43"/>
      <c r="T3" s="43"/>
      <c r="U3" s="44"/>
    </row>
    <row r="4" spans="2:45" x14ac:dyDescent="0.25">
      <c r="B4" s="42"/>
      <c r="C4" s="43"/>
      <c r="D4" s="43"/>
      <c r="E4" s="43"/>
      <c r="F4" s="94">
        <v>-1</v>
      </c>
      <c r="G4" s="47" t="s">
        <v>85</v>
      </c>
      <c r="H4" s="47" t="s">
        <v>87</v>
      </c>
      <c r="I4" s="47">
        <v>24</v>
      </c>
      <c r="J4" s="47" t="s">
        <v>70</v>
      </c>
      <c r="K4" s="47" t="s">
        <v>89</v>
      </c>
      <c r="L4" s="47">
        <v>274</v>
      </c>
      <c r="M4" s="47" t="s">
        <v>89</v>
      </c>
      <c r="N4" s="93" t="s">
        <v>93</v>
      </c>
      <c r="O4" s="93"/>
      <c r="P4" s="43"/>
      <c r="Q4" s="43"/>
      <c r="R4" s="43"/>
      <c r="S4" s="43"/>
      <c r="T4" s="43"/>
      <c r="U4" s="44"/>
    </row>
    <row r="5" spans="2:45" x14ac:dyDescent="0.25">
      <c r="B5" s="42"/>
      <c r="C5" s="43"/>
      <c r="D5" s="43"/>
      <c r="E5" s="43"/>
      <c r="F5" s="94">
        <v>1</v>
      </c>
      <c r="G5" s="47" t="s">
        <v>86</v>
      </c>
      <c r="H5" s="47" t="s">
        <v>88</v>
      </c>
      <c r="I5" s="47">
        <v>26</v>
      </c>
      <c r="J5" s="47" t="s">
        <v>71</v>
      </c>
      <c r="K5" s="47" t="s">
        <v>90</v>
      </c>
      <c r="L5" s="47">
        <v>276</v>
      </c>
      <c r="M5" s="47" t="s">
        <v>90</v>
      </c>
      <c r="N5" s="93"/>
      <c r="O5" s="93"/>
      <c r="P5" s="43"/>
      <c r="Q5" s="43"/>
      <c r="R5" s="43"/>
      <c r="S5" s="43"/>
      <c r="T5" s="43"/>
      <c r="U5" s="44"/>
    </row>
    <row r="6" spans="2:45" x14ac:dyDescent="0.25">
      <c r="B6" s="42"/>
      <c r="C6" s="43"/>
      <c r="D6" s="43"/>
      <c r="E6" s="43"/>
      <c r="F6" s="95"/>
      <c r="G6" s="93"/>
      <c r="H6" s="93"/>
      <c r="I6" s="93"/>
      <c r="J6" s="93"/>
      <c r="K6" s="93"/>
      <c r="L6" s="97"/>
      <c r="M6" s="97"/>
      <c r="N6" s="97"/>
      <c r="O6" s="97"/>
      <c r="P6" s="43"/>
      <c r="Q6" s="43"/>
      <c r="R6" s="43"/>
      <c r="S6" s="43"/>
      <c r="T6" s="43"/>
      <c r="U6" s="44"/>
      <c r="Y6" s="51"/>
      <c r="Z6" s="51"/>
      <c r="AA6" s="51"/>
      <c r="AB6" s="51"/>
      <c r="AC6" s="51"/>
      <c r="AD6" s="51"/>
      <c r="AE6" s="51"/>
      <c r="AF6" s="51"/>
      <c r="AG6" s="51"/>
    </row>
    <row r="7" spans="2:45" ht="15.75" thickBot="1" x14ac:dyDescent="0.3">
      <c r="B7" s="42"/>
      <c r="C7" s="155" t="s">
        <v>67</v>
      </c>
      <c r="D7" s="156" t="s">
        <v>1</v>
      </c>
      <c r="E7" s="156"/>
      <c r="G7" s="205" t="s">
        <v>104</v>
      </c>
      <c r="H7" s="205"/>
      <c r="I7" s="205"/>
      <c r="J7" s="205"/>
      <c r="K7" s="206" t="s">
        <v>99</v>
      </c>
      <c r="L7" s="206"/>
      <c r="M7" s="207"/>
      <c r="N7" s="201" t="s">
        <v>101</v>
      </c>
      <c r="O7" s="202"/>
      <c r="P7" s="203"/>
      <c r="Q7" s="204"/>
      <c r="R7" s="43"/>
      <c r="S7" s="43"/>
      <c r="T7" s="43"/>
      <c r="U7" s="44"/>
      <c r="Y7" s="51"/>
      <c r="Z7" s="51"/>
      <c r="AA7" s="51"/>
      <c r="AB7" s="51"/>
      <c r="AC7" s="51"/>
      <c r="AD7" s="51"/>
      <c r="AE7" s="51"/>
      <c r="AF7" s="51"/>
      <c r="AG7" s="51"/>
    </row>
    <row r="8" spans="2:45" x14ac:dyDescent="0.25">
      <c r="B8" s="42"/>
      <c r="C8" s="105" t="s">
        <v>61</v>
      </c>
      <c r="D8" s="157" t="s">
        <v>103</v>
      </c>
      <c r="E8" s="157"/>
      <c r="G8" s="113" t="s">
        <v>74</v>
      </c>
      <c r="H8" s="113" t="s">
        <v>106</v>
      </c>
      <c r="I8" s="113" t="s">
        <v>105</v>
      </c>
      <c r="J8" s="113" t="s">
        <v>107</v>
      </c>
      <c r="K8" s="113" t="s">
        <v>100</v>
      </c>
      <c r="L8" s="113" t="s">
        <v>73</v>
      </c>
      <c r="M8" s="113" t="s">
        <v>108</v>
      </c>
      <c r="N8" s="150">
        <v>0.7</v>
      </c>
      <c r="O8" s="150">
        <v>0.8</v>
      </c>
      <c r="P8" s="183">
        <v>1</v>
      </c>
      <c r="Q8" s="174">
        <v>1.2</v>
      </c>
      <c r="R8" s="43"/>
      <c r="S8" s="85" t="s">
        <v>16</v>
      </c>
      <c r="T8" s="151">
        <v>0.98</v>
      </c>
      <c r="U8" s="48">
        <f>+T8</f>
        <v>0.98</v>
      </c>
      <c r="V8" s="49">
        <v>0</v>
      </c>
      <c r="W8" s="50">
        <f ca="1">AA44</f>
        <v>113.96100050740829</v>
      </c>
      <c r="X8" s="51"/>
      <c r="Y8" s="51"/>
      <c r="Z8" s="51"/>
      <c r="AA8" s="51"/>
      <c r="AB8" s="51"/>
      <c r="AC8" s="51"/>
      <c r="AD8" s="51"/>
      <c r="AE8" s="51"/>
      <c r="AF8" s="51"/>
      <c r="AG8" s="51"/>
    </row>
    <row r="9" spans="2:45" x14ac:dyDescent="0.25">
      <c r="B9" s="42"/>
      <c r="C9" s="43"/>
      <c r="D9" s="104" t="s">
        <v>68</v>
      </c>
      <c r="E9" s="104"/>
      <c r="G9" s="114">
        <v>1</v>
      </c>
      <c r="H9" s="114">
        <v>1</v>
      </c>
      <c r="I9" s="114">
        <v>1</v>
      </c>
      <c r="J9" s="85">
        <v>-1</v>
      </c>
      <c r="K9" s="114">
        <v>1</v>
      </c>
      <c r="L9" s="85">
        <v>-1</v>
      </c>
      <c r="M9" s="115">
        <v>-1</v>
      </c>
      <c r="N9" s="158">
        <f ca="1">1+(RAND()-RAND())/100</f>
        <v>0.99515814372786882</v>
      </c>
      <c r="O9" s="166">
        <f t="shared" ref="O9:Q16" ca="1" si="0">1+(RAND()-RAND())/100</f>
        <v>0.99378232352122098</v>
      </c>
      <c r="P9" s="184">
        <f t="shared" ca="1" si="0"/>
        <v>0.99866025231074984</v>
      </c>
      <c r="Q9" s="175">
        <f t="shared" ca="1" si="0"/>
        <v>0.99824922326841148</v>
      </c>
      <c r="R9" s="106">
        <f ca="1">SUM(N9:Q9)</f>
        <v>3.985849942828251</v>
      </c>
      <c r="S9" s="85" t="s">
        <v>15</v>
      </c>
      <c r="T9" s="144">
        <v>1.02</v>
      </c>
      <c r="U9" s="48">
        <f>+T9</f>
        <v>1.02</v>
      </c>
      <c r="V9" s="49">
        <v>0</v>
      </c>
      <c r="W9" s="50">
        <f ca="1">W8</f>
        <v>113.96100050740829</v>
      </c>
      <c r="X9" s="51"/>
      <c r="Y9" s="51"/>
      <c r="Z9" s="51"/>
      <c r="AA9" s="51"/>
      <c r="AB9" s="51"/>
      <c r="AC9" s="51"/>
      <c r="AD9" s="51"/>
      <c r="AE9" s="51"/>
      <c r="AF9" s="51"/>
      <c r="AG9" s="51"/>
    </row>
    <row r="10" spans="2:45" x14ac:dyDescent="0.25">
      <c r="B10" s="42"/>
      <c r="D10" s="98" t="s">
        <v>82</v>
      </c>
      <c r="E10" s="98"/>
      <c r="G10" s="85">
        <v>-1</v>
      </c>
      <c r="H10" s="114">
        <v>1</v>
      </c>
      <c r="I10" s="114">
        <v>1</v>
      </c>
      <c r="J10" s="114">
        <v>1</v>
      </c>
      <c r="K10" s="85">
        <v>-1</v>
      </c>
      <c r="L10" s="114">
        <v>1</v>
      </c>
      <c r="M10" s="154">
        <v>-1</v>
      </c>
      <c r="N10" s="160">
        <f t="shared" ref="N10:N16" ca="1" si="1">1+(RAND()-RAND())/100</f>
        <v>1.001832295657201</v>
      </c>
      <c r="O10" s="167">
        <f t="shared" ca="1" si="0"/>
        <v>1.0053192847206607</v>
      </c>
      <c r="P10" s="185">
        <f t="shared" ca="1" si="0"/>
        <v>0.99749080511022559</v>
      </c>
      <c r="Q10" s="176">
        <f t="shared" ca="1" si="0"/>
        <v>0.99702195056007359</v>
      </c>
      <c r="R10" s="106">
        <f t="shared" ref="R10:R16" ca="1" si="2">SUM(N10:Q10)</f>
        <v>4.0016643360481607</v>
      </c>
      <c r="S10" s="43"/>
      <c r="T10" s="53"/>
      <c r="U10" s="54"/>
      <c r="W10" s="51"/>
      <c r="X10" s="49"/>
      <c r="Y10" s="55"/>
      <c r="Z10" s="193"/>
      <c r="AA10" s="193"/>
      <c r="AB10" s="49"/>
      <c r="AC10" s="49"/>
      <c r="AD10" s="49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</row>
    <row r="11" spans="2:45" x14ac:dyDescent="0.25">
      <c r="B11" s="42"/>
      <c r="C11" s="43"/>
      <c r="D11" s="84" t="s">
        <v>83</v>
      </c>
      <c r="E11" s="84"/>
      <c r="G11" s="85">
        <v>-1</v>
      </c>
      <c r="H11" s="85">
        <v>-1</v>
      </c>
      <c r="I11" s="114">
        <v>1</v>
      </c>
      <c r="J11" s="114">
        <v>1</v>
      </c>
      <c r="K11" s="114">
        <v>1</v>
      </c>
      <c r="L11" s="85">
        <v>-1</v>
      </c>
      <c r="M11" s="124">
        <v>1</v>
      </c>
      <c r="N11" s="161">
        <f t="shared" ca="1" si="1"/>
        <v>1.0006304886388517</v>
      </c>
      <c r="O11" s="168">
        <f t="shared" ca="1" si="0"/>
        <v>1.0069601337987857</v>
      </c>
      <c r="P11" s="186">
        <f t="shared" ca="1" si="0"/>
        <v>1.00132889635469</v>
      </c>
      <c r="Q11" s="177">
        <f t="shared" ca="1" si="0"/>
        <v>0.9929070823154551</v>
      </c>
      <c r="R11" s="106">
        <f t="shared" ca="1" si="2"/>
        <v>4.0018266011077825</v>
      </c>
      <c r="S11" s="85" t="s">
        <v>17</v>
      </c>
      <c r="T11" s="56">
        <f ca="1">AVERAGE(N9:Q16)</f>
        <v>0.9998849947876105</v>
      </c>
      <c r="U11" s="54"/>
      <c r="W11" s="51"/>
      <c r="X11" s="49"/>
      <c r="Y11" s="57"/>
      <c r="Z11" s="58"/>
      <c r="AA11" s="58"/>
      <c r="AB11" s="49"/>
      <c r="AC11" s="49"/>
      <c r="AD11" s="49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</row>
    <row r="12" spans="2:45" x14ac:dyDescent="0.25">
      <c r="B12" s="42"/>
      <c r="C12" s="43"/>
      <c r="D12" s="83" t="s">
        <v>69</v>
      </c>
      <c r="E12" s="83"/>
      <c r="G12" s="114">
        <v>1</v>
      </c>
      <c r="H12" s="85">
        <v>-1</v>
      </c>
      <c r="I12" s="85">
        <v>-1</v>
      </c>
      <c r="J12" s="114">
        <v>1</v>
      </c>
      <c r="K12" s="114">
        <v>1</v>
      </c>
      <c r="L12" s="114">
        <v>1</v>
      </c>
      <c r="M12" s="154">
        <v>-1</v>
      </c>
      <c r="N12" s="163">
        <f t="shared" ca="1" si="1"/>
        <v>1.0004045086222126</v>
      </c>
      <c r="O12" s="169">
        <f t="shared" ca="1" si="0"/>
        <v>1.0029829417922167</v>
      </c>
      <c r="P12" s="187">
        <f t="shared" ca="1" si="0"/>
        <v>1.0041678155904634</v>
      </c>
      <c r="Q12" s="178">
        <f t="shared" ca="1" si="0"/>
        <v>0.99994109125857467</v>
      </c>
      <c r="R12" s="106">
        <f t="shared" ca="1" si="2"/>
        <v>4.0074963572634674</v>
      </c>
      <c r="S12" s="85" t="s">
        <v>64</v>
      </c>
      <c r="T12" s="56">
        <f ca="1">K40</f>
        <v>1.2254839417291244E-5</v>
      </c>
      <c r="U12" s="54"/>
      <c r="V12" s="51"/>
      <c r="W12" s="51"/>
      <c r="X12" s="51"/>
      <c r="Y12" s="53"/>
      <c r="Z12" s="53"/>
      <c r="AA12" s="53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</row>
    <row r="13" spans="2:45" x14ac:dyDescent="0.25">
      <c r="B13" s="42"/>
      <c r="C13" s="105" t="s">
        <v>81</v>
      </c>
      <c r="D13" s="103" t="s">
        <v>102</v>
      </c>
      <c r="E13" s="103"/>
      <c r="G13" s="85">
        <v>-1</v>
      </c>
      <c r="H13" s="114">
        <v>1</v>
      </c>
      <c r="I13" s="85">
        <v>-1</v>
      </c>
      <c r="J13" s="85">
        <v>-1</v>
      </c>
      <c r="K13" s="114">
        <v>1</v>
      </c>
      <c r="L13" s="114">
        <v>1</v>
      </c>
      <c r="M13" s="124">
        <v>1</v>
      </c>
      <c r="N13" s="165">
        <f t="shared" ca="1" si="1"/>
        <v>0.99895230440820748</v>
      </c>
      <c r="O13" s="170">
        <f t="shared" ca="1" si="0"/>
        <v>1.0017168888338448</v>
      </c>
      <c r="P13" s="188">
        <f t="shared" ca="1" si="0"/>
        <v>1.0011629928491506</v>
      </c>
      <c r="Q13" s="179">
        <f t="shared" ca="1" si="0"/>
        <v>0.99737072123605364</v>
      </c>
      <c r="R13" s="106">
        <f t="shared" ca="1" si="2"/>
        <v>3.9992029073272568</v>
      </c>
      <c r="S13" s="45" t="s">
        <v>65</v>
      </c>
      <c r="T13" s="56">
        <f ca="1">SQRT(T12)</f>
        <v>3.5006912770610384E-3</v>
      </c>
      <c r="U13" s="54"/>
      <c r="V13" s="51"/>
      <c r="W13" s="51"/>
      <c r="X13" s="51"/>
      <c r="Y13" s="49"/>
      <c r="Z13" s="49"/>
      <c r="AA13" s="49"/>
      <c r="AB13" s="49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</row>
    <row r="14" spans="2:45" x14ac:dyDescent="0.25">
      <c r="B14" s="42"/>
      <c r="C14" s="43"/>
      <c r="D14" s="99" t="s">
        <v>67</v>
      </c>
      <c r="E14" s="59"/>
      <c r="G14" s="114">
        <v>1</v>
      </c>
      <c r="H14" s="85">
        <v>-1</v>
      </c>
      <c r="I14" s="114">
        <v>1</v>
      </c>
      <c r="J14" s="85">
        <v>-1</v>
      </c>
      <c r="K14" s="85">
        <v>-1</v>
      </c>
      <c r="L14" s="114">
        <v>1</v>
      </c>
      <c r="M14" s="124">
        <v>1</v>
      </c>
      <c r="N14" s="159">
        <f t="shared" ca="1" si="1"/>
        <v>1.0028941016892645</v>
      </c>
      <c r="O14" s="171">
        <f t="shared" ca="1" si="0"/>
        <v>0.99507245962130686</v>
      </c>
      <c r="P14" s="189">
        <f t="shared" ca="1" si="0"/>
        <v>0.99986304537987214</v>
      </c>
      <c r="Q14" s="180">
        <f t="shared" ca="1" si="0"/>
        <v>1.0067539876315197</v>
      </c>
      <c r="R14" s="106">
        <f t="shared" ca="1" si="2"/>
        <v>4.0045835943219634</v>
      </c>
      <c r="S14" s="45" t="s">
        <v>18</v>
      </c>
      <c r="T14" s="63">
        <f ca="1">MIN(N9:Q16)</f>
        <v>0.9929070823154551</v>
      </c>
      <c r="U14" s="54"/>
      <c r="V14" s="51"/>
      <c r="W14" s="51"/>
      <c r="X14" s="51"/>
      <c r="Y14" s="153">
        <v>-3</v>
      </c>
      <c r="Z14" s="61">
        <f t="shared" ref="Z14:Z74" ca="1" si="3">T$11+Y14*SQRT(T$12)</f>
        <v>0.98938292095642744</v>
      </c>
      <c r="AA14" s="62">
        <f t="shared" ref="AA14:AA74" ca="1" si="4">NORMDIST(Z14,T$11,SQRT(T$12),0)</f>
        <v>1.26599236013148</v>
      </c>
      <c r="AB14" s="49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</row>
    <row r="15" spans="2:45" x14ac:dyDescent="0.25">
      <c r="B15" s="42"/>
      <c r="C15" s="43"/>
      <c r="D15" s="100" t="s">
        <v>67</v>
      </c>
      <c r="E15" s="59"/>
      <c r="G15" s="114">
        <v>1</v>
      </c>
      <c r="H15" s="114">
        <v>1</v>
      </c>
      <c r="I15" s="85">
        <v>-1</v>
      </c>
      <c r="J15" s="114">
        <v>1</v>
      </c>
      <c r="K15" s="85">
        <v>-1</v>
      </c>
      <c r="L15" s="85">
        <v>-1</v>
      </c>
      <c r="M15" s="124">
        <v>1</v>
      </c>
      <c r="N15" s="164">
        <f t="shared" ca="1" si="1"/>
        <v>0.99933335149037106</v>
      </c>
      <c r="O15" s="172">
        <f t="shared" ca="1" si="0"/>
        <v>0.9996391207908345</v>
      </c>
      <c r="P15" s="190">
        <f t="shared" ca="1" si="0"/>
        <v>0.99802930914627508</v>
      </c>
      <c r="Q15" s="181">
        <f t="shared" ca="1" si="0"/>
        <v>1.0042273093946386</v>
      </c>
      <c r="R15" s="106">
        <f t="shared" ca="1" si="2"/>
        <v>4.0012290908221191</v>
      </c>
      <c r="S15" s="45" t="s">
        <v>19</v>
      </c>
      <c r="T15" s="63">
        <f ca="1">MAX(N9:Q16)</f>
        <v>1.0069601337987857</v>
      </c>
      <c r="U15" s="54"/>
      <c r="V15" s="51"/>
      <c r="W15" s="51"/>
      <c r="X15" s="51"/>
      <c r="Y15" s="153">
        <v>-2.9</v>
      </c>
      <c r="Z15" s="61">
        <f t="shared" ca="1" si="3"/>
        <v>0.98973299008413351</v>
      </c>
      <c r="AA15" s="62">
        <f t="shared" ca="1" si="4"/>
        <v>1.7003877087879993</v>
      </c>
      <c r="AB15" s="49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</row>
    <row r="16" spans="2:45" ht="15.75" thickBot="1" x14ac:dyDescent="0.3">
      <c r="B16" s="42"/>
      <c r="C16" s="43"/>
      <c r="D16" s="101" t="s">
        <v>67</v>
      </c>
      <c r="E16" s="59"/>
      <c r="G16" s="85">
        <v>-1</v>
      </c>
      <c r="H16" s="85">
        <v>-1</v>
      </c>
      <c r="I16" s="85">
        <v>-1</v>
      </c>
      <c r="J16" s="85">
        <v>-1</v>
      </c>
      <c r="K16" s="85">
        <v>-1</v>
      </c>
      <c r="L16" s="85">
        <v>-1</v>
      </c>
      <c r="M16" s="154">
        <v>-1</v>
      </c>
      <c r="N16" s="162">
        <f t="shared" ca="1" si="1"/>
        <v>0.99670542356210179</v>
      </c>
      <c r="O16" s="173">
        <f t="shared" ca="1" si="0"/>
        <v>1.002221640730026</v>
      </c>
      <c r="P16" s="191">
        <f t="shared" ca="1" si="0"/>
        <v>0.99725814555302494</v>
      </c>
      <c r="Q16" s="182">
        <f t="shared" ca="1" si="0"/>
        <v>0.99828179363938674</v>
      </c>
      <c r="R16" s="106">
        <f t="shared" ca="1" si="2"/>
        <v>3.9944670034845391</v>
      </c>
      <c r="S16" s="45" t="s">
        <v>20</v>
      </c>
      <c r="T16" s="63">
        <f ca="1">MIN((T9-T11)/(3*SQRT(T12)),(T11-T8)/(3*SQRT(T12)))</f>
        <v>1.8934350593277411</v>
      </c>
      <c r="U16" s="54"/>
      <c r="V16" s="51"/>
      <c r="W16" s="51"/>
      <c r="X16" s="51"/>
      <c r="Y16" s="153">
        <v>-2.8</v>
      </c>
      <c r="Z16" s="61">
        <f t="shared" ca="1" si="3"/>
        <v>0.99008305921183959</v>
      </c>
      <c r="AA16" s="62">
        <f t="shared" ca="1" si="4"/>
        <v>2.2611110082307047</v>
      </c>
      <c r="AB16" s="49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</row>
    <row r="17" spans="2:45" x14ac:dyDescent="0.25">
      <c r="B17" s="42"/>
      <c r="C17" s="43"/>
      <c r="D17" s="102" t="s">
        <v>67</v>
      </c>
      <c r="E17" s="59"/>
      <c r="F17" s="93"/>
      <c r="G17" s="96"/>
      <c r="H17" s="93"/>
      <c r="I17" s="93"/>
      <c r="J17" s="93"/>
      <c r="K17" s="93"/>
      <c r="L17" s="93"/>
      <c r="M17" s="93"/>
      <c r="N17" s="93"/>
      <c r="O17" s="93"/>
      <c r="P17" s="43"/>
      <c r="Q17" s="46">
        <f ca="1">SUM(M14:P14)</f>
        <v>3.9978296066904435</v>
      </c>
      <c r="R17" s="43"/>
      <c r="S17" s="43"/>
      <c r="T17" s="43"/>
      <c r="U17" s="44"/>
      <c r="V17" s="51"/>
      <c r="W17" s="51"/>
      <c r="X17" s="51"/>
      <c r="Y17" s="153">
        <v>-2.7</v>
      </c>
      <c r="Z17" s="61">
        <f t="shared" ca="1" si="3"/>
        <v>0.99043312833954567</v>
      </c>
      <c r="AA17" s="62">
        <f t="shared" ca="1" si="4"/>
        <v>2.9768220016165161</v>
      </c>
      <c r="AB17" s="49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</row>
    <row r="18" spans="2:45" x14ac:dyDescent="0.25">
      <c r="B18" s="42"/>
      <c r="C18" s="43"/>
      <c r="D18" s="43"/>
      <c r="E18" s="43"/>
      <c r="F18" s="43"/>
      <c r="G18" s="43"/>
      <c r="H18" s="43"/>
      <c r="I18" s="93"/>
      <c r="J18" s="93"/>
      <c r="K18" s="93"/>
      <c r="L18" s="93"/>
      <c r="M18" s="93"/>
      <c r="N18" s="93"/>
      <c r="O18" s="93"/>
      <c r="P18" s="43"/>
      <c r="Q18" s="46"/>
      <c r="R18" s="43"/>
      <c r="S18" s="43"/>
      <c r="T18" s="43"/>
      <c r="U18" s="44"/>
      <c r="V18" s="51"/>
      <c r="W18" s="51"/>
      <c r="X18" s="51"/>
      <c r="Y18" s="153">
        <v>-2.6</v>
      </c>
      <c r="Z18" s="61">
        <f t="shared" ca="1" si="3"/>
        <v>0.99078319746725185</v>
      </c>
      <c r="AA18" s="62">
        <f t="shared" ca="1" si="4"/>
        <v>3.8800820062857775</v>
      </c>
      <c r="AB18" s="49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</row>
    <row r="19" spans="2:45" x14ac:dyDescent="0.25">
      <c r="B19" s="64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6"/>
      <c r="R19" s="65"/>
      <c r="S19" s="65"/>
      <c r="T19" s="65"/>
      <c r="U19" s="67"/>
      <c r="V19" s="51"/>
      <c r="W19" s="51"/>
      <c r="X19" s="51"/>
      <c r="Y19" s="153">
        <v>-2.5</v>
      </c>
      <c r="Z19" s="61">
        <f t="shared" ca="1" si="3"/>
        <v>0.99113326659495793</v>
      </c>
      <c r="AA19" s="62">
        <f t="shared" ca="1" si="4"/>
        <v>5.0070969149511741</v>
      </c>
      <c r="AB19" s="49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</row>
    <row r="20" spans="2:45" x14ac:dyDescent="0.25"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4"/>
      <c r="V20" s="51"/>
      <c r="W20" s="51"/>
      <c r="X20" s="51"/>
      <c r="Y20" s="153">
        <v>-2.4</v>
      </c>
      <c r="Z20" s="61">
        <f t="shared" ca="1" si="3"/>
        <v>0.99148333572266401</v>
      </c>
      <c r="AA20" s="62">
        <f t="shared" ca="1" si="4"/>
        <v>6.3971737358239311</v>
      </c>
      <c r="AB20" s="49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</row>
    <row r="21" spans="2:45" x14ac:dyDescent="0.25"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4"/>
      <c r="V21" s="51"/>
      <c r="W21" s="51"/>
      <c r="X21" s="51"/>
      <c r="Y21" s="153">
        <v>-2.2999999999999998</v>
      </c>
      <c r="Z21" s="61">
        <f t="shared" ca="1" si="3"/>
        <v>0.99183340485037008</v>
      </c>
      <c r="AA21" s="62">
        <f t="shared" ca="1" si="4"/>
        <v>8.0918411535512931</v>
      </c>
      <c r="AB21" s="49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</row>
    <row r="22" spans="2:45" x14ac:dyDescent="0.25">
      <c r="B22" s="4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4"/>
      <c r="V22" s="51"/>
      <c r="W22" s="51"/>
      <c r="X22" s="51"/>
      <c r="Y22" s="153">
        <v>-2.2000000000000002</v>
      </c>
      <c r="Z22" s="61">
        <f t="shared" ca="1" si="3"/>
        <v>0.99218347397807627</v>
      </c>
      <c r="AA22" s="62">
        <f t="shared" ca="1" si="4"/>
        <v>10.133596492409001</v>
      </c>
      <c r="AB22" s="49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</row>
    <row r="23" spans="2:45" x14ac:dyDescent="0.25">
      <c r="B23" s="42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4"/>
      <c r="V23" s="51"/>
      <c r="W23" s="51"/>
      <c r="X23" s="51"/>
      <c r="Y23" s="153">
        <v>-2.1</v>
      </c>
      <c r="Z23" s="61">
        <f t="shared" ca="1" si="3"/>
        <v>0.99253354310578235</v>
      </c>
      <c r="AA23" s="62">
        <f t="shared" ca="1" si="4"/>
        <v>12.564260170166641</v>
      </c>
      <c r="AB23" s="49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</row>
    <row r="24" spans="2:45" x14ac:dyDescent="0.25"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4"/>
      <c r="V24" s="51"/>
      <c r="W24" s="51"/>
      <c r="X24" s="51"/>
      <c r="Y24" s="153">
        <v>-2</v>
      </c>
      <c r="Z24" s="61">
        <f t="shared" ca="1" si="3"/>
        <v>0.99288361223348842</v>
      </c>
      <c r="AA24" s="62">
        <f t="shared" ca="1" si="4"/>
        <v>15.42294428159782</v>
      </c>
      <c r="AB24" s="49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</row>
    <row r="25" spans="2:45" x14ac:dyDescent="0.25"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4"/>
      <c r="V25" s="51"/>
      <c r="W25" s="51"/>
      <c r="X25" s="51"/>
      <c r="Y25" s="153">
        <v>-1.9</v>
      </c>
      <c r="Z25" s="61">
        <f t="shared" ca="1" si="3"/>
        <v>0.9932336813611945</v>
      </c>
      <c r="AA25" s="62">
        <f t="shared" ca="1" si="4"/>
        <v>18.743673629444519</v>
      </c>
      <c r="AB25" s="49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</row>
    <row r="26" spans="2:45" x14ac:dyDescent="0.25"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4"/>
      <c r="V26" s="51"/>
      <c r="W26" s="51"/>
      <c r="X26" s="51"/>
      <c r="Y26" s="153">
        <v>-1.8</v>
      </c>
      <c r="Z26" s="61">
        <f t="shared" ca="1" si="3"/>
        <v>0.99358375048890069</v>
      </c>
      <c r="AA26" s="62">
        <f t="shared" ca="1" si="4"/>
        <v>22.552733746683842</v>
      </c>
      <c r="AB26" s="49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</row>
    <row r="27" spans="2:45" x14ac:dyDescent="0.25"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4"/>
      <c r="V27" s="51"/>
      <c r="W27" s="51"/>
      <c r="X27" s="51"/>
      <c r="Y27" s="153">
        <v>-1.7</v>
      </c>
      <c r="Z27" s="61">
        <f t="shared" ca="1" si="3"/>
        <v>0.99393381961660676</v>
      </c>
      <c r="AA27" s="62">
        <f t="shared" ca="1" si="4"/>
        <v>26.86585875000258</v>
      </c>
      <c r="AB27" s="49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</row>
    <row r="28" spans="2:45" x14ac:dyDescent="0.25">
      <c r="B28" s="4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4"/>
      <c r="V28" s="51"/>
      <c r="W28" s="51"/>
      <c r="X28" s="51"/>
      <c r="Y28" s="153">
        <v>-1.6</v>
      </c>
      <c r="Z28" s="61">
        <f t="shared" ca="1" si="3"/>
        <v>0.99428388874431284</v>
      </c>
      <c r="AA28" s="62">
        <f t="shared" ca="1" si="4"/>
        <v>31.685408938024821</v>
      </c>
      <c r="AB28" s="49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</row>
    <row r="29" spans="2:45" x14ac:dyDescent="0.25">
      <c r="B29" s="4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4"/>
      <c r="V29" s="51"/>
      <c r="W29" s="51"/>
      <c r="X29" s="51"/>
      <c r="Y29" s="153">
        <v>-1.5</v>
      </c>
      <c r="Z29" s="61">
        <f t="shared" ca="1" si="3"/>
        <v>0.99463395787201891</v>
      </c>
      <c r="AA29" s="62">
        <f t="shared" ca="1" si="4"/>
        <v>36.99771999735573</v>
      </c>
      <c r="AB29" s="49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</row>
    <row r="30" spans="2:45" x14ac:dyDescent="0.25">
      <c r="B30" s="4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53"/>
      <c r="U30" s="54"/>
      <c r="V30" s="51"/>
      <c r="W30" s="51"/>
      <c r="X30" s="51"/>
      <c r="Y30" s="153">
        <v>-1.4</v>
      </c>
      <c r="Z30" s="61">
        <f t="shared" ca="1" si="3"/>
        <v>0.9949840269997251</v>
      </c>
      <c r="AA30" s="62">
        <f t="shared" ca="1" si="4"/>
        <v>42.77082832664118</v>
      </c>
      <c r="AB30" s="49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</row>
    <row r="31" spans="2:45" x14ac:dyDescent="0.25"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53"/>
      <c r="U31" s="54"/>
      <c r="V31" s="51"/>
      <c r="W31" s="51"/>
      <c r="X31" s="51"/>
      <c r="Y31" s="153">
        <v>-1.3</v>
      </c>
      <c r="Z31" s="61">
        <f t="shared" ca="1" si="3"/>
        <v>0.99533409612743118</v>
      </c>
      <c r="AA31" s="62">
        <f t="shared" ca="1" si="4"/>
        <v>48.952786317015445</v>
      </c>
      <c r="AB31" s="49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</row>
    <row r="32" spans="2:45" x14ac:dyDescent="0.25">
      <c r="B32" s="4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53"/>
      <c r="U32" s="54"/>
      <c r="V32" s="51"/>
      <c r="W32" s="51"/>
      <c r="X32" s="51"/>
      <c r="Y32" s="153">
        <v>-1.2</v>
      </c>
      <c r="Z32" s="61">
        <f t="shared" ca="1" si="3"/>
        <v>0.99568416525513725</v>
      </c>
      <c r="AA32" s="62">
        <f t="shared" ca="1" si="4"/>
        <v>55.470774088436393</v>
      </c>
      <c r="AB32" s="49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</row>
    <row r="33" spans="2:45" x14ac:dyDescent="0.25">
      <c r="B33" s="4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4"/>
      <c r="V33" s="51"/>
      <c r="W33" s="51"/>
      <c r="X33" s="51"/>
      <c r="Y33" s="153">
        <v>-1.1000000000000001</v>
      </c>
      <c r="Z33" s="61">
        <f t="shared" ca="1" si="3"/>
        <v>0.99603423438284333</v>
      </c>
      <c r="AA33" s="62">
        <f t="shared" ca="1" si="4"/>
        <v>62.231188011370008</v>
      </c>
      <c r="AB33" s="49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</row>
    <row r="34" spans="2:45" x14ac:dyDescent="0.25">
      <c r="B34" s="42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51"/>
      <c r="W34" s="51"/>
      <c r="X34" s="51"/>
      <c r="Y34" s="153">
        <v>-1</v>
      </c>
      <c r="Z34" s="61">
        <f t="shared" ca="1" si="3"/>
        <v>0.99638430351054952</v>
      </c>
      <c r="AA34" s="62">
        <f t="shared" ca="1" si="4"/>
        <v>69.120840819271137</v>
      </c>
      <c r="AB34" s="49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</row>
    <row r="35" spans="2:45" ht="15.75" thickBot="1" x14ac:dyDescent="0.3">
      <c r="B35" s="68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70"/>
      <c r="V35" s="51"/>
      <c r="W35" s="51"/>
      <c r="X35" s="51"/>
      <c r="Y35" s="153">
        <v>-0.9</v>
      </c>
      <c r="Z35" s="61">
        <f t="shared" ca="1" si="3"/>
        <v>0.99673437263825559</v>
      </c>
      <c r="AA35" s="62">
        <f t="shared" ca="1" si="4"/>
        <v>76.009344680672655</v>
      </c>
      <c r="AB35" s="49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</row>
    <row r="36" spans="2:45" x14ac:dyDescent="0.25">
      <c r="B36" s="39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1"/>
      <c r="V36" s="51"/>
      <c r="W36" s="51"/>
      <c r="X36" s="51"/>
      <c r="Y36" s="153">
        <v>-0.8</v>
      </c>
      <c r="Z36" s="61">
        <f t="shared" ca="1" si="3"/>
        <v>0.99708444176596167</v>
      </c>
      <c r="AA36" s="62">
        <f t="shared" ca="1" si="4"/>
        <v>82.752670782408885</v>
      </c>
      <c r="AB36" s="49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</row>
    <row r="37" spans="2:45" x14ac:dyDescent="0.25"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53"/>
      <c r="U37" s="54"/>
      <c r="V37" s="51"/>
      <c r="W37" s="51"/>
      <c r="X37" s="51"/>
      <c r="Y37" s="153">
        <v>-0.7</v>
      </c>
      <c r="Z37" s="61">
        <f t="shared" ca="1" si="3"/>
        <v>0.99743451089366775</v>
      </c>
      <c r="AA37" s="62">
        <f t="shared" ca="1" si="4"/>
        <v>89.197792279731758</v>
      </c>
      <c r="AB37" s="49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</row>
    <row r="38" spans="2:45" x14ac:dyDescent="0.25">
      <c r="B38" s="42"/>
      <c r="C38" s="43"/>
      <c r="D38" s="43"/>
      <c r="E38" s="194" t="s">
        <v>58</v>
      </c>
      <c r="F38" s="195"/>
      <c r="G38" s="195"/>
      <c r="H38" s="196"/>
      <c r="I38" s="200" t="s">
        <v>59</v>
      </c>
      <c r="J38" s="200"/>
      <c r="K38" s="200"/>
      <c r="L38" s="200"/>
      <c r="M38" s="200"/>
      <c r="N38" s="200"/>
      <c r="O38" s="200"/>
      <c r="P38" s="146"/>
      <c r="Q38" s="146"/>
      <c r="R38" s="146"/>
      <c r="S38" s="146"/>
      <c r="T38" s="146"/>
      <c r="U38" s="147"/>
      <c r="V38" s="51"/>
      <c r="W38" s="51"/>
      <c r="X38" s="51"/>
      <c r="Y38" s="153">
        <v>-0.6</v>
      </c>
      <c r="Z38" s="61">
        <f t="shared" ca="1" si="3"/>
        <v>0.99778458002137393</v>
      </c>
      <c r="AA38" s="62">
        <f t="shared" ca="1" si="4"/>
        <v>95.188228986463869</v>
      </c>
      <c r="AB38" s="49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</row>
    <row r="39" spans="2:45" x14ac:dyDescent="0.25">
      <c r="B39" s="42"/>
      <c r="C39" s="43"/>
      <c r="D39" s="43"/>
      <c r="E39" s="71" t="s">
        <v>0</v>
      </c>
      <c r="F39" s="71" t="s">
        <v>1</v>
      </c>
      <c r="G39" s="71" t="s">
        <v>9</v>
      </c>
      <c r="H39" s="71" t="s">
        <v>10</v>
      </c>
      <c r="I39" s="71" t="s">
        <v>2</v>
      </c>
      <c r="J39" s="71" t="s">
        <v>3</v>
      </c>
      <c r="K39" s="71" t="s">
        <v>4</v>
      </c>
      <c r="L39" s="71" t="s">
        <v>5</v>
      </c>
      <c r="M39" s="71" t="s">
        <v>6</v>
      </c>
      <c r="N39" s="72" t="s">
        <v>11</v>
      </c>
      <c r="O39" s="72" t="s">
        <v>109</v>
      </c>
      <c r="P39" s="146"/>
      <c r="Q39" s="146"/>
      <c r="R39" s="146"/>
      <c r="S39" s="146"/>
      <c r="T39" s="146"/>
      <c r="U39" s="147"/>
      <c r="V39" s="51"/>
      <c r="W39" s="51"/>
      <c r="X39" s="51"/>
      <c r="Y39" s="153">
        <v>-0.5</v>
      </c>
      <c r="Z39" s="61">
        <f t="shared" ca="1" si="3"/>
        <v>0.99813464914908001</v>
      </c>
      <c r="AA39" s="62">
        <f t="shared" ca="1" si="4"/>
        <v>100.57022996322969</v>
      </c>
      <c r="AB39" s="49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</row>
    <row r="40" spans="2:45" x14ac:dyDescent="0.25">
      <c r="B40" s="42"/>
      <c r="C40" s="43"/>
      <c r="D40" s="43"/>
      <c r="E40" s="73" t="s">
        <v>12</v>
      </c>
      <c r="F40" s="73">
        <f ca="1">COUNT(N9:Q16)</f>
        <v>32</v>
      </c>
      <c r="G40" s="138">
        <f ca="1">SUM(N9:Q16)^2</f>
        <v>1023.764482868654</v>
      </c>
      <c r="H40" s="138">
        <f ca="1">G40/F40</f>
        <v>31.992640089645437</v>
      </c>
      <c r="I40" s="75">
        <f ca="1">DEVSQ(N9:Q16)</f>
        <v>3.7990002193602859E-4</v>
      </c>
      <c r="J40" s="73">
        <f ca="1">F40-1</f>
        <v>31</v>
      </c>
      <c r="K40" s="74">
        <f ca="1">I40/J40</f>
        <v>1.2254839417291244E-5</v>
      </c>
      <c r="L40" s="73" t="s">
        <v>7</v>
      </c>
      <c r="M40" s="73" t="s">
        <v>7</v>
      </c>
      <c r="N40" s="76">
        <f ca="1">SUM(N42:N52)</f>
        <v>1.0000000000000002</v>
      </c>
      <c r="O40" s="73" t="s">
        <v>7</v>
      </c>
      <c r="P40" s="146"/>
      <c r="Q40" s="146"/>
      <c r="R40" s="146"/>
      <c r="S40" s="146"/>
      <c r="T40" s="146"/>
      <c r="U40" s="147"/>
      <c r="V40" s="51"/>
      <c r="W40" s="51"/>
      <c r="X40" s="51"/>
      <c r="Y40" s="153">
        <v>-0.4</v>
      </c>
      <c r="Z40" s="61">
        <f t="shared" ca="1" si="3"/>
        <v>0.99848471827678609</v>
      </c>
      <c r="AA40" s="62">
        <f t="shared" ca="1" si="4"/>
        <v>105.19926241896425</v>
      </c>
      <c r="AB40" s="49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</row>
    <row r="41" spans="2:45" x14ac:dyDescent="0.25">
      <c r="B41" s="42"/>
      <c r="C41" s="43"/>
      <c r="D41" s="43"/>
      <c r="E41" s="73" t="s">
        <v>14</v>
      </c>
      <c r="F41" s="73" t="s">
        <v>7</v>
      </c>
      <c r="G41" s="139" t="s">
        <v>7</v>
      </c>
      <c r="H41" s="138" t="s">
        <v>7</v>
      </c>
      <c r="I41" s="74">
        <f ca="1">SUM(I43:I52)</f>
        <v>1.6609140378776033E-4</v>
      </c>
      <c r="J41" s="77">
        <f>SUM(J43:J52)</f>
        <v>14</v>
      </c>
      <c r="K41" s="74">
        <f ca="1">I41/J41</f>
        <v>1.1863671699125738E-5</v>
      </c>
      <c r="L41" s="74">
        <f ca="1">K41/K42</f>
        <v>0.94328479661787235</v>
      </c>
      <c r="M41" s="74">
        <f ca="1">FINV(0.05,J41,J42)</f>
        <v>2.3289520232604746</v>
      </c>
      <c r="N41" s="76">
        <f ca="1">I41/I40</f>
        <v>0.4371976683268749</v>
      </c>
      <c r="O41" s="73" t="s">
        <v>7</v>
      </c>
      <c r="P41" s="146"/>
      <c r="Q41" s="146"/>
      <c r="R41" s="146"/>
      <c r="S41" s="146"/>
      <c r="T41" s="146"/>
      <c r="U41" s="147"/>
      <c r="V41" s="51"/>
      <c r="W41" s="51"/>
      <c r="X41" s="51"/>
      <c r="Y41" s="153">
        <v>-0.3</v>
      </c>
      <c r="Z41" s="61">
        <f t="shared" ca="1" si="3"/>
        <v>0.99883478740449216</v>
      </c>
      <c r="AA41" s="62">
        <f t="shared" ca="1" si="4"/>
        <v>108.94642951226265</v>
      </c>
      <c r="AB41" s="49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</row>
    <row r="42" spans="2:45" x14ac:dyDescent="0.25">
      <c r="B42" s="42"/>
      <c r="C42" s="43"/>
      <c r="D42" s="43"/>
      <c r="E42" s="73" t="s">
        <v>8</v>
      </c>
      <c r="F42" s="73" t="s">
        <v>7</v>
      </c>
      <c r="G42" s="138" t="s">
        <v>7</v>
      </c>
      <c r="H42" s="138" t="s">
        <v>7</v>
      </c>
      <c r="I42" s="74">
        <f ca="1">I40-I41</f>
        <v>2.1380861814826826E-4</v>
      </c>
      <c r="J42" s="77">
        <f ca="1">J40-J41</f>
        <v>17</v>
      </c>
      <c r="K42" s="74">
        <f ca="1">I42/J42</f>
        <v>1.2576977538133427E-5</v>
      </c>
      <c r="L42" s="74" t="s">
        <v>7</v>
      </c>
      <c r="M42" s="73" t="s">
        <v>7</v>
      </c>
      <c r="N42" s="76">
        <f ca="1">I42/I40</f>
        <v>0.5628023316731251</v>
      </c>
      <c r="O42" s="73" t="s">
        <v>7</v>
      </c>
      <c r="P42" s="146"/>
      <c r="Q42" s="146"/>
      <c r="R42" s="146"/>
      <c r="S42" s="146"/>
      <c r="T42" s="146"/>
      <c r="U42" s="147"/>
      <c r="V42" s="51"/>
      <c r="W42" s="51"/>
      <c r="X42" s="51"/>
      <c r="Y42" s="153">
        <v>-0.2</v>
      </c>
      <c r="Z42" s="61">
        <f t="shared" ca="1" si="3"/>
        <v>0.99918485653219835</v>
      </c>
      <c r="AA42" s="62">
        <f t="shared" ca="1" si="4"/>
        <v>111.70442150607239</v>
      </c>
      <c r="AB42" s="49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</row>
    <row r="43" spans="2:45" x14ac:dyDescent="0.25">
      <c r="B43" s="42"/>
      <c r="C43" s="43"/>
      <c r="D43" s="43"/>
      <c r="E43" s="78" t="str">
        <f>D7</f>
        <v>niveau</v>
      </c>
      <c r="F43" s="78">
        <v>2</v>
      </c>
      <c r="G43" s="140">
        <f ca="1">SUM(N9:O16)^2+SUM(P9:Q16)^2</f>
        <v>511.88230074115882</v>
      </c>
      <c r="H43" s="140">
        <f t="shared" ref="H43:H52" ca="1" si="5">G43*F43/$F$40</f>
        <v>31.992643796322426</v>
      </c>
      <c r="I43" s="79">
        <f t="shared" ref="I43:I52" ca="1" si="6">H43-$H$40</f>
        <v>3.7066769884575024E-6</v>
      </c>
      <c r="J43" s="78">
        <f>F43-1</f>
        <v>1</v>
      </c>
      <c r="K43" s="79">
        <f ca="1">I43/J43</f>
        <v>3.7066769884575024E-6</v>
      </c>
      <c r="L43" s="79">
        <f t="shared" ref="L43:L52" ca="1" si="7">K43/K$42</f>
        <v>0.29471921828745012</v>
      </c>
      <c r="M43" s="79">
        <f t="shared" ref="M43:M52" ca="1" si="8">FINV(0.05,J43,J$42)</f>
        <v>4.4513217724681331</v>
      </c>
      <c r="N43" s="80">
        <f t="shared" ref="N43:N52" ca="1" si="9">I43/$I$40</f>
        <v>9.7569801906504505E-3</v>
      </c>
      <c r="O43" s="148">
        <f ca="1">1-FDIST(M43/L43,J43,J$42)</f>
        <v>0.99881365014413015</v>
      </c>
      <c r="P43" s="146"/>
      <c r="Q43" s="146"/>
      <c r="R43" s="146"/>
      <c r="S43" s="146"/>
      <c r="T43" s="146"/>
      <c r="U43" s="147"/>
      <c r="V43" s="51"/>
      <c r="W43" s="51"/>
      <c r="X43" s="51"/>
      <c r="Y43" s="153">
        <v>-0.1</v>
      </c>
      <c r="Z43" s="61">
        <f t="shared" ca="1" si="3"/>
        <v>0.99953492565990443</v>
      </c>
      <c r="AA43" s="62">
        <f t="shared" ca="1" si="4"/>
        <v>113.39261764615492</v>
      </c>
      <c r="AB43" s="49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</row>
    <row r="44" spans="2:45" x14ac:dyDescent="0.25">
      <c r="B44" s="42"/>
      <c r="C44" s="43"/>
      <c r="D44" s="43"/>
      <c r="E44" s="78" t="str">
        <f>D13</f>
        <v>échantillon (4 éch)</v>
      </c>
      <c r="F44" s="78">
        <v>4</v>
      </c>
      <c r="G44" s="140">
        <f ca="1">SUM(N9,O10,P11,Q12,P13,Q14,N15,O16)^2+SUM(O9,N10,Q11,P12,Q13,P14,O15,N16)^2+SUM(P9,Q10,N11,O12,N13,O14,P15,Q16)^2+SUM(Q9,P10,O11,N12,O13,N14,Q15,P16)^2</f>
        <v>255.94162394481765</v>
      </c>
      <c r="H44" s="140">
        <f t="shared" ca="1" si="5"/>
        <v>31.992702993102206</v>
      </c>
      <c r="I44" s="79">
        <f t="shared" ca="1" si="6"/>
        <v>6.2903456768736987E-5</v>
      </c>
      <c r="J44" s="78">
        <v>3</v>
      </c>
      <c r="K44" s="79">
        <f ca="1">I44/J44</f>
        <v>2.0967818922912329E-5</v>
      </c>
      <c r="L44" s="79">
        <f t="shared" ca="1" si="7"/>
        <v>1.667158811354942</v>
      </c>
      <c r="M44" s="79">
        <f t="shared" ca="1" si="8"/>
        <v>3.1967768409433446</v>
      </c>
      <c r="N44" s="80">
        <f t="shared" ca="1" si="9"/>
        <v>0.16557897640587477</v>
      </c>
      <c r="O44" s="148">
        <f t="shared" ref="O44:O52" ca="1" si="10">1-FDIST(M44/L44,J44,J$42)</f>
        <v>0.83492853558181856</v>
      </c>
      <c r="P44" s="146"/>
      <c r="Q44" s="146"/>
      <c r="R44" s="146"/>
      <c r="S44" s="146"/>
      <c r="T44" s="146"/>
      <c r="U44" s="147"/>
      <c r="V44" s="51"/>
      <c r="W44" s="51"/>
      <c r="X44" s="51"/>
      <c r="Y44" s="153">
        <v>0</v>
      </c>
      <c r="Z44" s="61">
        <f t="shared" ca="1" si="3"/>
        <v>0.9998849947876105</v>
      </c>
      <c r="AA44" s="62">
        <f t="shared" ca="1" si="4"/>
        <v>113.96100050740829</v>
      </c>
      <c r="AB44" s="49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</row>
    <row r="45" spans="2:45" x14ac:dyDescent="0.25">
      <c r="B45" s="42"/>
      <c r="C45" s="43"/>
      <c r="D45" s="43"/>
      <c r="E45" s="78" t="str">
        <f>D8</f>
        <v>jour (4j)</v>
      </c>
      <c r="F45" s="78">
        <v>4</v>
      </c>
      <c r="G45" s="141">
        <f ca="1">SUM(N9,Q10,O11,P12,N13,O15,P16,Q14)^2+SUM(O9,P10,N11,O13,P14,Q12,N15,Q16)^2+SUM(P9,O10,Q11,N12,P13,O14,Q15,N16)^2+SUM(Q9,N10,P11,O12,Q13,N14,P15,O16)^2</f>
        <v>255.94128736246108</v>
      </c>
      <c r="H45" s="140">
        <f t="shared" ca="1" si="5"/>
        <v>31.992660920307635</v>
      </c>
      <c r="I45" s="79">
        <f t="shared" ca="1" si="6"/>
        <v>2.0830662197823813E-5</v>
      </c>
      <c r="J45" s="78">
        <f>F45-1</f>
        <v>3</v>
      </c>
      <c r="K45" s="79">
        <f t="shared" ref="K45:K52" ca="1" si="11">I45/J45</f>
        <v>6.9435540659412709E-6</v>
      </c>
      <c r="L45" s="79">
        <f t="shared" ca="1" si="7"/>
        <v>0.55208447696502583</v>
      </c>
      <c r="M45" s="79">
        <f t="shared" ca="1" si="8"/>
        <v>3.1967768409433446</v>
      </c>
      <c r="N45" s="80">
        <f t="shared" ca="1" si="9"/>
        <v>5.483195839702134E-2</v>
      </c>
      <c r="O45" s="148">
        <f t="shared" ca="1" si="10"/>
        <v>0.99355062897602275</v>
      </c>
      <c r="P45" s="146"/>
      <c r="Q45" s="146"/>
      <c r="R45" s="146"/>
      <c r="S45" s="146"/>
      <c r="T45" s="146"/>
      <c r="U45" s="147"/>
      <c r="V45" s="51"/>
      <c r="W45" s="51"/>
      <c r="X45" s="51"/>
      <c r="Y45" s="153">
        <v>0.1</v>
      </c>
      <c r="Z45" s="61">
        <f t="shared" ca="1" si="3"/>
        <v>1.0002350639153166</v>
      </c>
      <c r="AA45" s="62">
        <f t="shared" ca="1" si="4"/>
        <v>113.39261764615492</v>
      </c>
      <c r="AB45" s="49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</row>
    <row r="46" spans="2:45" x14ac:dyDescent="0.25">
      <c r="B46" s="42"/>
      <c r="C46" s="43"/>
      <c r="D46" s="43"/>
      <c r="E46" s="52" t="str">
        <f>G3</f>
        <v>pression</v>
      </c>
      <c r="F46" s="52">
        <v>2</v>
      </c>
      <c r="G46" s="142">
        <f ca="1">SUM(R9,R12,R14,R15)^2+SUM(R10,R11,R13,R16)^2</f>
        <v>511.88224343060347</v>
      </c>
      <c r="H46" s="142">
        <f ca="1">G46*F46/$F$40</f>
        <v>31.992640214412717</v>
      </c>
      <c r="I46" s="143">
        <f t="shared" ca="1" si="6"/>
        <v>1.2476727917487551E-7</v>
      </c>
      <c r="J46" s="52">
        <f t="shared" ref="J46:J52" si="12">F46-1</f>
        <v>1</v>
      </c>
      <c r="K46" s="143">
        <f t="shared" ca="1" si="11"/>
        <v>1.2476727917487551E-7</v>
      </c>
      <c r="L46" s="143">
        <f t="shared" ca="1" si="7"/>
        <v>9.9202911666639148E-3</v>
      </c>
      <c r="M46" s="143">
        <f t="shared" ca="1" si="8"/>
        <v>4.4513217724681331</v>
      </c>
      <c r="N46" s="144">
        <f t="shared" ca="1" si="9"/>
        <v>3.284213529102799E-4</v>
      </c>
      <c r="O46" s="149">
        <f t="shared" ca="1" si="10"/>
        <v>0.9999999999998832</v>
      </c>
      <c r="P46" s="146"/>
      <c r="Q46" s="146"/>
      <c r="R46" s="146"/>
      <c r="S46" s="146"/>
      <c r="T46" s="146"/>
      <c r="U46" s="147"/>
      <c r="V46" s="51"/>
      <c r="W46" s="51"/>
      <c r="X46" s="51"/>
      <c r="Y46" s="153">
        <v>0.2</v>
      </c>
      <c r="Z46" s="61">
        <f t="shared" ca="1" si="3"/>
        <v>1.0005851330430227</v>
      </c>
      <c r="AA46" s="62">
        <f t="shared" ca="1" si="4"/>
        <v>111.70442150607239</v>
      </c>
      <c r="AB46" s="49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</row>
    <row r="47" spans="2:45" x14ac:dyDescent="0.25">
      <c r="B47" s="42"/>
      <c r="C47" s="43"/>
      <c r="D47" s="43"/>
      <c r="E47" s="52" t="str">
        <f>H3</f>
        <v>température</v>
      </c>
      <c r="F47" s="52">
        <v>2</v>
      </c>
      <c r="G47" s="142">
        <f ca="1">SUM(R9,R10,R13,R15)^2+SUM(R11,R12,R14,R16)^2</f>
        <v>511.88245007119383</v>
      </c>
      <c r="H47" s="142">
        <f t="shared" ca="1" si="5"/>
        <v>31.992653129449614</v>
      </c>
      <c r="I47" s="143">
        <f t="shared" ca="1" si="6"/>
        <v>1.3039804176884218E-5</v>
      </c>
      <c r="J47" s="52">
        <f t="shared" si="12"/>
        <v>1</v>
      </c>
      <c r="K47" s="143">
        <f t="shared" ca="1" si="11"/>
        <v>1.3039804176884218E-5</v>
      </c>
      <c r="L47" s="143">
        <f t="shared" ca="1" si="7"/>
        <v>1.0367995122315754</v>
      </c>
      <c r="M47" s="143">
        <f t="shared" ca="1" si="8"/>
        <v>4.4513217724681331</v>
      </c>
      <c r="N47" s="144">
        <f t="shared" ca="1" si="9"/>
        <v>3.4324304880087614E-2</v>
      </c>
      <c r="O47" s="149">
        <f ca="1">1-FDIST(M47/L47,J47,J$42)</f>
        <v>0.94621268384259882</v>
      </c>
      <c r="P47" s="146"/>
      <c r="Q47" s="146"/>
      <c r="R47" s="146"/>
      <c r="S47" s="146"/>
      <c r="T47" s="146"/>
      <c r="U47" s="147"/>
      <c r="V47" s="51"/>
      <c r="W47" s="51"/>
      <c r="X47" s="51"/>
      <c r="Y47" s="153">
        <v>0.3</v>
      </c>
      <c r="Z47" s="61">
        <f t="shared" ca="1" si="3"/>
        <v>1.0009352021707287</v>
      </c>
      <c r="AA47" s="62">
        <f t="shared" ca="1" si="4"/>
        <v>108.94642951226369</v>
      </c>
      <c r="AB47" s="49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</row>
    <row r="48" spans="2:45" x14ac:dyDescent="0.25">
      <c r="B48" s="42"/>
      <c r="C48" s="43"/>
      <c r="D48" s="43"/>
      <c r="E48" s="52" t="str">
        <f>I3</f>
        <v>tps</v>
      </c>
      <c r="F48" s="52">
        <v>2</v>
      </c>
      <c r="G48" s="142">
        <f ca="1">SUM(R9,R10,R11,R14)^2+SUM(R12,R13,R15,R16)^2</f>
        <v>511.88227731226993</v>
      </c>
      <c r="H48" s="142">
        <f t="shared" ca="1" si="5"/>
        <v>31.992642332016871</v>
      </c>
      <c r="I48" s="143">
        <f t="shared" ca="1" si="6"/>
        <v>2.2423714334252054E-6</v>
      </c>
      <c r="J48" s="52">
        <f t="shared" si="12"/>
        <v>1</v>
      </c>
      <c r="K48" s="143">
        <f t="shared" ca="1" si="11"/>
        <v>2.2423714334252054E-6</v>
      </c>
      <c r="L48" s="143">
        <f t="shared" ca="1" si="7"/>
        <v>0.17829175782705581</v>
      </c>
      <c r="M48" s="143">
        <f t="shared" ca="1" si="8"/>
        <v>4.4513217724681331</v>
      </c>
      <c r="N48" s="144">
        <f t="shared" ca="1" si="9"/>
        <v>5.9025304131274797E-3</v>
      </c>
      <c r="O48" s="149">
        <f ca="1">1-FDIST(M48/L48,J48,J$42)</f>
        <v>0.99988965073854075</v>
      </c>
      <c r="P48" s="146"/>
      <c r="Q48" s="146"/>
      <c r="R48" s="146"/>
      <c r="S48" s="146"/>
      <c r="T48" s="146"/>
      <c r="U48" s="147"/>
      <c r="V48" s="51"/>
      <c r="W48" s="51"/>
      <c r="X48" s="51"/>
      <c r="Y48" s="153">
        <v>0.4</v>
      </c>
      <c r="Z48" s="61">
        <f t="shared" ca="1" si="3"/>
        <v>1.0012852712984348</v>
      </c>
      <c r="AA48" s="62">
        <f t="shared" ca="1" si="4"/>
        <v>105.19926241896559</v>
      </c>
      <c r="AB48" s="49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</row>
    <row r="49" spans="2:45" x14ac:dyDescent="0.25">
      <c r="B49" s="42"/>
      <c r="C49" s="43"/>
      <c r="D49" s="43"/>
      <c r="E49" s="52" t="str">
        <f>J3</f>
        <v>lot</v>
      </c>
      <c r="F49" s="52">
        <v>2</v>
      </c>
      <c r="G49" s="142">
        <f ca="1">SUM(R10,R11,R12,R15)^2+SUM(R9,R13,R14,R16)^2</f>
        <v>511.88263660294842</v>
      </c>
      <c r="H49" s="142">
        <f t="shared" ca="1" si="5"/>
        <v>31.992664787684276</v>
      </c>
      <c r="I49" s="143">
        <f t="shared" ca="1" si="6"/>
        <v>2.4698038838977254E-5</v>
      </c>
      <c r="J49" s="52">
        <f t="shared" si="12"/>
        <v>1</v>
      </c>
      <c r="K49" s="143">
        <f t="shared" ca="1" si="11"/>
        <v>2.4698038838977254E-5</v>
      </c>
      <c r="L49" s="143">
        <f t="shared" ca="1" si="7"/>
        <v>1.963749936269882</v>
      </c>
      <c r="M49" s="143">
        <f t="shared" ca="1" si="8"/>
        <v>4.4513217724681331</v>
      </c>
      <c r="N49" s="144">
        <f t="shared" ca="1" si="9"/>
        <v>6.5011943703272956E-2</v>
      </c>
      <c r="O49" s="149">
        <f ca="1">1-FDIST(M49/L49,J49,J$42)</f>
        <v>0.84946855934623355</v>
      </c>
      <c r="P49" s="146"/>
      <c r="Q49" s="146"/>
      <c r="R49" s="146"/>
      <c r="S49" s="146"/>
      <c r="T49" s="146"/>
      <c r="U49" s="147"/>
      <c r="V49" s="51"/>
      <c r="W49" s="51"/>
      <c r="X49" s="51"/>
      <c r="Y49" s="153">
        <v>0.5</v>
      </c>
      <c r="Z49" s="61">
        <f t="shared" ca="1" si="3"/>
        <v>1.0016353404261411</v>
      </c>
      <c r="AA49" s="62">
        <f t="shared" ca="1" si="4"/>
        <v>100.57022996322807</v>
      </c>
      <c r="AB49" s="49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</row>
    <row r="50" spans="2:45" x14ac:dyDescent="0.25">
      <c r="B50" s="42"/>
      <c r="C50" s="43"/>
      <c r="D50" s="43"/>
      <c r="E50" s="52" t="str">
        <f>K3</f>
        <v>solvant</v>
      </c>
      <c r="F50" s="52">
        <v>2</v>
      </c>
      <c r="G50" s="142">
        <f ca="1">SUM(R9,R11,R12,R13)^2+SUM(R10,R14,R15,R16)^2</f>
        <v>511.88227007327492</v>
      </c>
      <c r="H50" s="142">
        <f t="shared" ca="1" si="5"/>
        <v>31.992641879579683</v>
      </c>
      <c r="I50" s="143">
        <f t="shared" ca="1" si="6"/>
        <v>1.7899342452665223E-6</v>
      </c>
      <c r="J50" s="52">
        <f t="shared" si="12"/>
        <v>1</v>
      </c>
      <c r="K50" s="143">
        <f t="shared" ca="1" si="11"/>
        <v>1.7899342452665223E-6</v>
      </c>
      <c r="L50" s="143">
        <f t="shared" ca="1" si="7"/>
        <v>0.14231831454253913</v>
      </c>
      <c r="M50" s="143">
        <f t="shared" ca="1" si="8"/>
        <v>4.4513217724681331</v>
      </c>
      <c r="N50" s="144">
        <f t="shared" ca="1" si="9"/>
        <v>4.7115928979017787E-3</v>
      </c>
      <c r="O50" s="149">
        <f t="shared" ca="1" si="10"/>
        <v>0.9999676494906784</v>
      </c>
      <c r="P50" s="146"/>
      <c r="Q50" s="146"/>
      <c r="R50" s="146"/>
      <c r="S50" s="146"/>
      <c r="T50" s="146"/>
      <c r="U50" s="147"/>
      <c r="V50" s="51"/>
      <c r="W50" s="51"/>
      <c r="X50" s="51"/>
      <c r="Y50" s="153">
        <v>0.6</v>
      </c>
      <c r="Z50" s="61">
        <f t="shared" ca="1" si="3"/>
        <v>1.0019854095538472</v>
      </c>
      <c r="AA50" s="62">
        <f t="shared" ca="1" si="4"/>
        <v>95.18822898646205</v>
      </c>
      <c r="AB50" s="49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</row>
    <row r="51" spans="2:45" x14ac:dyDescent="0.25">
      <c r="B51" s="42"/>
      <c r="C51" s="43"/>
      <c r="D51" s="43"/>
      <c r="E51" s="52" t="str">
        <f>L3</f>
        <v>débit</v>
      </c>
      <c r="F51" s="52">
        <v>2</v>
      </c>
      <c r="G51" s="142">
        <f ca="1">SUM(R10,R12,R13,R14)^2+SUM(R9,R11,R15,R16)^2</f>
        <v>511.88267876152963</v>
      </c>
      <c r="H51" s="142">
        <f t="shared" ca="1" si="5"/>
        <v>31.992667422595602</v>
      </c>
      <c r="I51" s="143">
        <f t="shared" ca="1" si="6"/>
        <v>2.7332950164549175E-5</v>
      </c>
      <c r="J51" s="52">
        <f t="shared" si="12"/>
        <v>1</v>
      </c>
      <c r="K51" s="143">
        <f t="shared" ca="1" si="11"/>
        <v>2.7332950164549175E-5</v>
      </c>
      <c r="L51" s="143">
        <f t="shared" ca="1" si="7"/>
        <v>2.1732526818685654</v>
      </c>
      <c r="M51" s="143">
        <f t="shared" ca="1" si="8"/>
        <v>4.4513217724681331</v>
      </c>
      <c r="N51" s="144">
        <f t="shared" ca="1" si="9"/>
        <v>7.1947745686500045E-2</v>
      </c>
      <c r="O51" s="149">
        <f t="shared" ca="1" si="10"/>
        <v>0.82948982879072841</v>
      </c>
      <c r="P51" s="146"/>
      <c r="Q51" s="146"/>
      <c r="R51" s="146"/>
      <c r="S51" s="146"/>
      <c r="T51" s="146"/>
      <c r="U51" s="147"/>
      <c r="V51" s="51"/>
      <c r="W51" s="51"/>
      <c r="X51" s="51"/>
      <c r="Y51" s="153">
        <v>0.7</v>
      </c>
      <c r="Z51" s="61">
        <f t="shared" ca="1" si="3"/>
        <v>1.0023354786815533</v>
      </c>
      <c r="AA51" s="62">
        <f t="shared" ca="1" si="4"/>
        <v>89.197792279731758</v>
      </c>
      <c r="AB51" s="49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</row>
    <row r="52" spans="2:45" x14ac:dyDescent="0.25">
      <c r="B52" s="42"/>
      <c r="C52" s="43"/>
      <c r="D52" s="43"/>
      <c r="E52" s="52" t="str">
        <f>M3</f>
        <v>lg d'onde</v>
      </c>
      <c r="F52" s="52">
        <v>2</v>
      </c>
      <c r="G52" s="142">
        <f ca="1">SUM(R9,R10,R12,R16)^2+SUM(R11,R13,R14,R15)^2</f>
        <v>511.88239219819411</v>
      </c>
      <c r="H52" s="142">
        <f t="shared" ca="1" si="5"/>
        <v>31.992649512387132</v>
      </c>
      <c r="I52" s="143">
        <f t="shared" ca="1" si="6"/>
        <v>9.4227416944647757E-6</v>
      </c>
      <c r="J52" s="52">
        <f t="shared" si="12"/>
        <v>1</v>
      </c>
      <c r="K52" s="143">
        <f t="shared" ca="1" si="11"/>
        <v>9.4227416944647757E-6</v>
      </c>
      <c r="L52" s="143">
        <f t="shared" ca="1" si="7"/>
        <v>0.74920557549657696</v>
      </c>
      <c r="M52" s="143">
        <f t="shared" ca="1" si="8"/>
        <v>4.4513217724681331</v>
      </c>
      <c r="N52" s="144">
        <f t="shared" ca="1" si="9"/>
        <v>2.4803214399528178E-2</v>
      </c>
      <c r="O52" s="144">
        <f t="shared" ca="1" si="10"/>
        <v>0.97393241534086761</v>
      </c>
      <c r="P52" s="146"/>
      <c r="Q52" s="146"/>
      <c r="R52" s="146"/>
      <c r="S52" s="146"/>
      <c r="T52" s="146"/>
      <c r="U52" s="147"/>
      <c r="V52" s="51"/>
      <c r="W52" s="51"/>
      <c r="X52" s="51"/>
      <c r="Y52" s="153">
        <v>0.8</v>
      </c>
      <c r="Z52" s="61">
        <f t="shared" ca="1" si="3"/>
        <v>1.0026855478092593</v>
      </c>
      <c r="AA52" s="62">
        <f t="shared" ca="1" si="4"/>
        <v>82.752670782408885</v>
      </c>
      <c r="AB52" s="49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</row>
    <row r="53" spans="2:45" x14ac:dyDescent="0.25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 t="s">
        <v>94</v>
      </c>
      <c r="M53" s="43"/>
      <c r="N53" s="43"/>
      <c r="O53" s="43"/>
      <c r="P53" s="146"/>
      <c r="Q53" s="146"/>
      <c r="R53" s="146"/>
      <c r="S53" s="146"/>
      <c r="T53" s="146"/>
      <c r="U53" s="147"/>
      <c r="V53" s="51"/>
      <c r="W53" s="51"/>
      <c r="X53" s="51"/>
      <c r="Y53" s="153">
        <v>0.9</v>
      </c>
      <c r="Z53" s="61">
        <f t="shared" ca="1" si="3"/>
        <v>1.0030356169369654</v>
      </c>
      <c r="AA53" s="62">
        <f t="shared" ca="1" si="4"/>
        <v>76.009344680672655</v>
      </c>
      <c r="AB53" s="49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</row>
    <row r="54" spans="2:45" x14ac:dyDescent="0.25">
      <c r="B54" s="42"/>
      <c r="C54" s="43"/>
      <c r="D54" s="43"/>
      <c r="E54" s="145" t="s">
        <v>56</v>
      </c>
      <c r="F54" s="81">
        <f ca="1">N41</f>
        <v>0.4371976683268749</v>
      </c>
      <c r="G54" s="53" t="s">
        <v>91</v>
      </c>
      <c r="H54" s="43"/>
      <c r="I54" s="43"/>
      <c r="J54" s="43"/>
      <c r="K54" s="43"/>
      <c r="L54" s="43"/>
      <c r="M54" s="43"/>
      <c r="N54" s="43"/>
      <c r="O54" s="43"/>
      <c r="P54" s="146"/>
      <c r="Q54" s="146"/>
      <c r="R54" s="146"/>
      <c r="S54" s="146"/>
      <c r="T54" s="146"/>
      <c r="U54" s="147"/>
      <c r="V54" s="51"/>
      <c r="W54" s="51"/>
      <c r="X54" s="51"/>
      <c r="Y54" s="153">
        <v>1</v>
      </c>
      <c r="Z54" s="61">
        <f t="shared" ca="1" si="3"/>
        <v>1.0033856860646715</v>
      </c>
      <c r="AA54" s="62">
        <f t="shared" ca="1" si="4"/>
        <v>69.120840819271137</v>
      </c>
      <c r="AB54" s="49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</row>
    <row r="55" spans="2:45" x14ac:dyDescent="0.25">
      <c r="B55" s="42"/>
      <c r="C55" s="43"/>
      <c r="D55" s="43"/>
      <c r="E55" s="43"/>
      <c r="F55" s="43"/>
      <c r="G55" s="53"/>
      <c r="H55" s="43"/>
      <c r="I55" s="43"/>
      <c r="J55" s="43"/>
      <c r="K55" s="43"/>
      <c r="L55" s="43"/>
      <c r="M55" s="43"/>
      <c r="N55" s="43"/>
      <c r="O55" s="43"/>
      <c r="P55" s="146"/>
      <c r="Q55" s="146"/>
      <c r="R55" s="146"/>
      <c r="S55" s="146"/>
      <c r="T55" s="146"/>
      <c r="U55" s="147"/>
      <c r="V55" s="51"/>
      <c r="W55" s="51"/>
      <c r="X55" s="51"/>
      <c r="Y55" s="153">
        <v>1.1000000000000001</v>
      </c>
      <c r="Z55" s="61">
        <f t="shared" ca="1" si="3"/>
        <v>1.0037357551923776</v>
      </c>
      <c r="AA55" s="62">
        <f t="shared" ca="1" si="4"/>
        <v>62.23118801137219</v>
      </c>
      <c r="AB55" s="49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</row>
    <row r="56" spans="2:45" x14ac:dyDescent="0.25">
      <c r="B56" s="42"/>
      <c r="C56" s="43"/>
      <c r="D56" s="43"/>
      <c r="E56" s="145" t="s">
        <v>60</v>
      </c>
      <c r="F56" s="81">
        <f ca="1">(K40-K42)/K40</f>
        <v>-2.6286604815698753E-2</v>
      </c>
      <c r="G56" s="53" t="s">
        <v>63</v>
      </c>
      <c r="H56" s="43"/>
      <c r="I56" s="43"/>
      <c r="J56" s="43"/>
      <c r="K56" s="43"/>
      <c r="L56" s="43"/>
      <c r="M56" s="43"/>
      <c r="N56" s="43"/>
      <c r="O56" s="43"/>
      <c r="P56" s="146"/>
      <c r="Q56" s="146"/>
      <c r="R56" s="146"/>
      <c r="S56" s="146"/>
      <c r="T56" s="146"/>
      <c r="U56" s="147"/>
      <c r="V56" s="51"/>
      <c r="W56" s="51"/>
      <c r="X56" s="51"/>
      <c r="Y56" s="153">
        <v>1.2</v>
      </c>
      <c r="Z56" s="61">
        <f t="shared" ca="1" si="3"/>
        <v>1.0040858243200836</v>
      </c>
      <c r="AA56" s="62">
        <f t="shared" ca="1" si="4"/>
        <v>55.47077408843851</v>
      </c>
      <c r="AB56" s="49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</row>
    <row r="57" spans="2:45" x14ac:dyDescent="0.25">
      <c r="B57" s="42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109"/>
      <c r="P57" s="43"/>
      <c r="Q57" s="43"/>
      <c r="R57" s="43"/>
      <c r="S57" s="43"/>
      <c r="T57" s="43"/>
      <c r="U57" s="44"/>
      <c r="V57" s="51"/>
      <c r="W57" s="51"/>
      <c r="X57" s="51"/>
      <c r="Y57" s="153">
        <v>1.3</v>
      </c>
      <c r="Z57" s="61">
        <f t="shared" ca="1" si="3"/>
        <v>1.0044358934477899</v>
      </c>
      <c r="AA57" s="62">
        <f t="shared" ca="1" si="4"/>
        <v>48.952786317013427</v>
      </c>
      <c r="AB57" s="49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</row>
    <row r="58" spans="2:45" ht="15.75" thickBot="1" x14ac:dyDescent="0.3">
      <c r="B58" s="68"/>
      <c r="C58" s="107"/>
      <c r="D58" s="69"/>
      <c r="E58" s="108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70"/>
      <c r="V58" s="51"/>
      <c r="W58" s="51"/>
      <c r="X58" s="51"/>
      <c r="Y58" s="153">
        <v>1.4</v>
      </c>
      <c r="Z58" s="61">
        <f t="shared" ca="1" si="3"/>
        <v>1.004785962575496</v>
      </c>
      <c r="AA58" s="62">
        <f t="shared" ca="1" si="4"/>
        <v>42.770828326639275</v>
      </c>
      <c r="AB58" s="49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</row>
    <row r="59" spans="2:45" x14ac:dyDescent="0.25">
      <c r="B59" s="51" t="s">
        <v>72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P59" s="43"/>
      <c r="Q59" s="43"/>
      <c r="R59" s="43"/>
      <c r="S59" s="43"/>
      <c r="T59" s="43"/>
      <c r="U59" s="111" t="s">
        <v>66</v>
      </c>
      <c r="V59" s="53"/>
      <c r="W59" s="51"/>
      <c r="X59" s="51"/>
      <c r="Y59" s="153">
        <v>1.5</v>
      </c>
      <c r="Z59" s="61">
        <f t="shared" ca="1" si="3"/>
        <v>1.0051360317032021</v>
      </c>
      <c r="AA59" s="62">
        <f t="shared" ca="1" si="4"/>
        <v>36.99771999735573</v>
      </c>
      <c r="AB59" s="49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</row>
    <row r="60" spans="2:45" x14ac:dyDescent="0.25"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90">
        <v>42795</v>
      </c>
      <c r="V60" s="53"/>
      <c r="W60" s="51"/>
      <c r="X60" s="51"/>
      <c r="Y60" s="153">
        <v>1.6</v>
      </c>
      <c r="Z60" s="61">
        <f t="shared" ca="1" si="3"/>
        <v>1.0054861008309082</v>
      </c>
      <c r="AA60" s="62">
        <f t="shared" ca="1" si="4"/>
        <v>31.685408938024821</v>
      </c>
      <c r="AB60" s="49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</row>
    <row r="61" spans="2:45" x14ac:dyDescent="0.25">
      <c r="C61" s="110"/>
      <c r="D61" s="152"/>
      <c r="E61" s="152"/>
      <c r="F61" s="53"/>
      <c r="G61" s="53"/>
      <c r="H61" s="53"/>
      <c r="I61" s="53"/>
      <c r="J61" s="53"/>
      <c r="K61" s="53"/>
      <c r="L61" s="58"/>
      <c r="M61" s="58"/>
      <c r="N61" s="58"/>
      <c r="O61" s="58"/>
      <c r="P61" s="58"/>
      <c r="Q61" s="53"/>
      <c r="R61" s="53"/>
      <c r="S61" s="53"/>
      <c r="T61" s="53"/>
      <c r="U61" s="51"/>
      <c r="V61" s="53"/>
      <c r="W61" s="51"/>
      <c r="X61" s="51"/>
      <c r="Y61" s="153">
        <v>1.7</v>
      </c>
      <c r="Z61" s="61">
        <f t="shared" ca="1" si="3"/>
        <v>1.0058361699586142</v>
      </c>
      <c r="AA61" s="62">
        <f t="shared" ca="1" si="4"/>
        <v>26.86585875000258</v>
      </c>
      <c r="AB61" s="49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</row>
    <row r="62" spans="2:45" x14ac:dyDescent="0.25">
      <c r="C62" s="51"/>
      <c r="D62" s="51"/>
      <c r="E62" s="51"/>
      <c r="F62" s="51"/>
      <c r="G62" s="51"/>
      <c r="H62" s="51"/>
      <c r="I62" s="51"/>
      <c r="J62" s="51"/>
      <c r="K62" s="51"/>
      <c r="L62" s="58" t="e">
        <f>VAR(M8:M9)</f>
        <v>#DIV/0!</v>
      </c>
      <c r="M62" s="58">
        <f ca="1">VAR(N8:N9)</f>
        <v>4.3559164904440451E-2</v>
      </c>
      <c r="N62" s="58">
        <f ca="1">VAR(O8:O9)</f>
        <v>1.8775794454641392E-2</v>
      </c>
      <c r="O62" s="58">
        <f ca="1">VAR(P8:P9)</f>
        <v>8.974619354255705E-7</v>
      </c>
      <c r="P62" s="49"/>
      <c r="Q62" s="51"/>
      <c r="R62" s="51"/>
      <c r="S62" s="51"/>
      <c r="T62" s="51"/>
      <c r="U62" s="51"/>
      <c r="V62" s="51"/>
      <c r="W62" s="51"/>
      <c r="X62" s="51"/>
      <c r="Y62" s="153">
        <v>1.8</v>
      </c>
      <c r="Z62" s="61">
        <f t="shared" ca="1" si="3"/>
        <v>1.0061862390863203</v>
      </c>
      <c r="AA62" s="62">
        <f t="shared" ca="1" si="4"/>
        <v>22.552733746683842</v>
      </c>
      <c r="AB62" s="49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</row>
    <row r="63" spans="2:45" x14ac:dyDescent="0.25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49"/>
      <c r="M63" s="49"/>
      <c r="N63" s="49"/>
      <c r="O63" s="49"/>
      <c r="P63" s="49"/>
      <c r="Q63" s="51"/>
      <c r="R63" s="51"/>
      <c r="S63" s="51"/>
      <c r="T63" s="51"/>
      <c r="U63" s="51"/>
      <c r="V63" s="51"/>
      <c r="W63" s="51"/>
      <c r="X63" s="51"/>
      <c r="Y63" s="153">
        <v>1.9</v>
      </c>
      <c r="Z63" s="61">
        <f t="shared" ca="1" si="3"/>
        <v>1.0065363082140264</v>
      </c>
      <c r="AA63" s="62">
        <f t="shared" ca="1" si="4"/>
        <v>18.743673629445638</v>
      </c>
      <c r="AB63" s="49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</row>
    <row r="64" spans="2:45" x14ac:dyDescent="0.25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8">
        <f>VAR(M10:M11)</f>
        <v>2</v>
      </c>
      <c r="M64" s="58">
        <f ca="1">VAR(N10:N11)</f>
        <v>7.221700546767762E-7</v>
      </c>
      <c r="N64" s="58">
        <f ca="1">VAR(O10:O11)</f>
        <v>1.3461928485918414E-6</v>
      </c>
      <c r="O64" s="58">
        <f ca="1">VAR(P10:P11)</f>
        <v>7.365472200417284E-6</v>
      </c>
      <c r="P64" s="49"/>
      <c r="Q64" s="51"/>
      <c r="R64" s="51"/>
      <c r="S64" s="51"/>
      <c r="T64" s="51"/>
      <c r="U64" s="51"/>
      <c r="V64" s="51"/>
      <c r="W64" s="51"/>
      <c r="X64" s="51"/>
      <c r="Y64" s="153">
        <v>2</v>
      </c>
      <c r="Z64" s="61">
        <f t="shared" ca="1" si="3"/>
        <v>1.0068863773417325</v>
      </c>
      <c r="AA64" s="62">
        <f t="shared" ca="1" si="4"/>
        <v>15.422944281598792</v>
      </c>
      <c r="AB64" s="49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</row>
    <row r="65" spans="2:45" x14ac:dyDescent="0.25"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49"/>
      <c r="M65" s="49"/>
      <c r="N65" s="49"/>
      <c r="O65" s="49"/>
      <c r="P65" s="49"/>
      <c r="Q65" s="51"/>
      <c r="R65" s="51"/>
      <c r="S65" s="51"/>
      <c r="T65" s="51"/>
      <c r="U65" s="51"/>
      <c r="V65" s="51"/>
      <c r="W65" s="51"/>
      <c r="X65" s="51"/>
      <c r="Y65" s="153">
        <v>2.1</v>
      </c>
      <c r="Z65" s="61">
        <f t="shared" ca="1" si="3"/>
        <v>1.0072364464694388</v>
      </c>
      <c r="AA65" s="62">
        <f t="shared" ca="1" si="4"/>
        <v>12.564260170165801</v>
      </c>
      <c r="AB65" s="49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</row>
    <row r="66" spans="2:45" x14ac:dyDescent="0.25"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8">
        <f>VAR(M12:M13)</f>
        <v>2</v>
      </c>
      <c r="M66" s="58">
        <f ca="1">VAR(N12:N13)</f>
        <v>1.0544485395871713E-6</v>
      </c>
      <c r="N66" s="58">
        <f ca="1">VAR(O12:O13)</f>
        <v>8.0144504670111913E-7</v>
      </c>
      <c r="O66" s="58">
        <f ca="1">VAR(P12:P13)</f>
        <v>4.5144798533554728E-6</v>
      </c>
      <c r="P66" s="49"/>
      <c r="Q66" s="51"/>
      <c r="R66" s="51"/>
      <c r="S66" s="51"/>
      <c r="T66" s="51"/>
      <c r="U66" s="51"/>
      <c r="V66" s="51"/>
      <c r="W66" s="51"/>
      <c r="X66" s="51"/>
      <c r="Y66" s="153">
        <v>2.2000000000000002</v>
      </c>
      <c r="Z66" s="61">
        <f t="shared" ca="1" si="3"/>
        <v>1.0075865155971448</v>
      </c>
      <c r="AA66" s="62">
        <f t="shared" ca="1" si="4"/>
        <v>10.1335964924083</v>
      </c>
      <c r="AB66" s="49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</row>
    <row r="67" spans="2:45" x14ac:dyDescent="0.25"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49"/>
      <c r="M67" s="49"/>
      <c r="N67" s="49"/>
      <c r="O67" s="49"/>
      <c r="P67" s="49"/>
      <c r="Q67" s="51"/>
      <c r="R67" s="51"/>
      <c r="S67" s="51"/>
      <c r="T67" s="51"/>
      <c r="U67" s="51"/>
      <c r="V67" s="51"/>
      <c r="W67" s="51"/>
      <c r="X67" s="51"/>
      <c r="Y67" s="153">
        <v>2.2999999999999998</v>
      </c>
      <c r="Z67" s="61">
        <f t="shared" ca="1" si="3"/>
        <v>1.0079365847248509</v>
      </c>
      <c r="AA67" s="62">
        <f t="shared" ca="1" si="4"/>
        <v>8.0918411535512931</v>
      </c>
      <c r="AB67" s="49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</row>
    <row r="68" spans="2:45" x14ac:dyDescent="0.25"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8">
        <f>VAR(M14:M15)</f>
        <v>0</v>
      </c>
      <c r="M68" s="58">
        <f ca="1">VAR(N14:N15)</f>
        <v>6.339470989459903E-6</v>
      </c>
      <c r="N68" s="58">
        <f ca="1">VAR(O14:O15)</f>
        <v>1.0427197118635783E-5</v>
      </c>
      <c r="O68" s="58">
        <f ca="1">VAR(P14:P15)</f>
        <v>1.6812942872033671E-6</v>
      </c>
      <c r="P68" s="49"/>
      <c r="Q68" s="51"/>
      <c r="R68" s="51"/>
      <c r="S68" s="51"/>
      <c r="T68" s="51"/>
      <c r="U68" s="51"/>
      <c r="V68" s="51"/>
      <c r="W68" s="51"/>
      <c r="X68" s="51"/>
      <c r="Y68" s="153">
        <v>2.4</v>
      </c>
      <c r="Z68" s="61">
        <f t="shared" ca="1" si="3"/>
        <v>1.008286653852557</v>
      </c>
      <c r="AA68" s="62">
        <f t="shared" ca="1" si="4"/>
        <v>6.3971737358239311</v>
      </c>
      <c r="AB68" s="49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</row>
    <row r="69" spans="2:45" x14ac:dyDescent="0.25"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49"/>
      <c r="M69" s="49"/>
      <c r="N69" s="49"/>
      <c r="O69" s="49"/>
      <c r="P69" s="49"/>
      <c r="Q69" s="51"/>
      <c r="R69" s="51"/>
      <c r="S69" s="51"/>
      <c r="T69" s="51"/>
      <c r="U69" s="51"/>
      <c r="V69" s="51"/>
      <c r="W69" s="51"/>
      <c r="X69" s="51"/>
      <c r="Y69" s="153">
        <v>2.5000000000000102</v>
      </c>
      <c r="Z69" s="61">
        <f t="shared" ca="1" si="3"/>
        <v>1.0086367229802631</v>
      </c>
      <c r="AA69" s="62">
        <f t="shared" ca="1" si="4"/>
        <v>5.0070969149511741</v>
      </c>
      <c r="AB69" s="49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</row>
    <row r="70" spans="2:45" x14ac:dyDescent="0.25"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49" t="e">
        <f>AVERAGE(L62:O68)</f>
        <v>#DIV/0!</v>
      </c>
      <c r="M70" s="49"/>
      <c r="N70" s="49"/>
      <c r="O70" s="49"/>
      <c r="P70" s="49"/>
      <c r="Q70" s="51"/>
      <c r="R70" s="51"/>
      <c r="S70" s="51"/>
      <c r="T70" s="51"/>
      <c r="U70" s="51"/>
      <c r="V70" s="51"/>
      <c r="W70" s="51"/>
      <c r="X70" s="51"/>
      <c r="Y70" s="153">
        <v>2.6</v>
      </c>
      <c r="Z70" s="61">
        <f t="shared" ca="1" si="3"/>
        <v>1.0089867921079692</v>
      </c>
      <c r="AA70" s="62">
        <f t="shared" ca="1" si="4"/>
        <v>3.8800820062857775</v>
      </c>
      <c r="AB70" s="49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</row>
    <row r="71" spans="2:45" x14ac:dyDescent="0.25"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49"/>
      <c r="M71" s="49"/>
      <c r="N71" s="49"/>
      <c r="O71" s="49"/>
      <c r="P71" s="49"/>
      <c r="Q71" s="51"/>
      <c r="R71" s="51"/>
      <c r="S71" s="51"/>
      <c r="T71" s="51"/>
      <c r="U71" s="51"/>
      <c r="V71" s="51"/>
      <c r="W71" s="51"/>
      <c r="X71" s="51"/>
      <c r="Y71" s="153">
        <v>2.7</v>
      </c>
      <c r="Z71" s="61">
        <f t="shared" ca="1" si="3"/>
        <v>1.0093368612356752</v>
      </c>
      <c r="AA71" s="62">
        <f t="shared" ca="1" si="4"/>
        <v>2.9768220016167684</v>
      </c>
      <c r="AB71" s="49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</row>
    <row r="72" spans="2:45" x14ac:dyDescent="0.25"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49"/>
      <c r="M72" s="49"/>
      <c r="N72" s="49"/>
      <c r="O72" s="49"/>
      <c r="P72" s="49"/>
      <c r="Q72" s="51"/>
      <c r="R72" s="51"/>
      <c r="S72" s="51"/>
      <c r="T72" s="51"/>
      <c r="U72" s="51"/>
      <c r="V72" s="51"/>
      <c r="W72" s="51"/>
      <c r="X72" s="51"/>
      <c r="Y72" s="153">
        <v>2.80000000000001</v>
      </c>
      <c r="Z72" s="61">
        <f t="shared" ca="1" si="3"/>
        <v>1.0096869303633815</v>
      </c>
      <c r="AA72" s="62">
        <f t="shared" ca="1" si="4"/>
        <v>2.2611110082305022</v>
      </c>
      <c r="AB72" s="49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</row>
    <row r="73" spans="2:45" x14ac:dyDescent="0.25"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9"/>
      <c r="M73" s="49"/>
      <c r="N73" s="49"/>
      <c r="O73" s="49"/>
      <c r="P73" s="49"/>
      <c r="Q73" s="51"/>
      <c r="R73" s="51"/>
      <c r="S73" s="51"/>
      <c r="T73" s="51"/>
      <c r="U73" s="51"/>
      <c r="V73" s="51"/>
      <c r="W73" s="51"/>
      <c r="X73" s="51"/>
      <c r="Y73" s="153">
        <v>2.9000000000000101</v>
      </c>
      <c r="Z73" s="61">
        <f t="shared" ca="1" si="3"/>
        <v>1.0100369994910876</v>
      </c>
      <c r="AA73" s="62">
        <f t="shared" ca="1" si="4"/>
        <v>1.7003877087878423</v>
      </c>
      <c r="AB73" s="49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</row>
    <row r="74" spans="2:45" x14ac:dyDescent="0.25"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49"/>
      <c r="M74" s="49"/>
      <c r="N74" s="49"/>
      <c r="O74" s="49"/>
      <c r="P74" s="49"/>
      <c r="Q74" s="51"/>
      <c r="R74" s="51"/>
      <c r="S74" s="51"/>
      <c r="T74" s="51"/>
      <c r="U74" s="51"/>
      <c r="V74" s="51"/>
      <c r="W74" s="51"/>
      <c r="X74" s="51"/>
      <c r="Y74" s="153">
        <v>3.0000000000000102</v>
      </c>
      <c r="Z74" s="61">
        <f t="shared" ca="1" si="3"/>
        <v>1.0103870686187937</v>
      </c>
      <c r="AA74" s="62">
        <f t="shared" ca="1" si="4"/>
        <v>1.2659923601313585</v>
      </c>
      <c r="AB74" s="49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</row>
    <row r="75" spans="2:45" x14ac:dyDescent="0.25"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49"/>
      <c r="M75" s="49"/>
      <c r="N75" s="49"/>
      <c r="O75" s="49"/>
      <c r="P75" s="49"/>
      <c r="Q75" s="51"/>
      <c r="R75" s="51"/>
      <c r="S75" s="51"/>
      <c r="T75" s="51"/>
      <c r="U75" s="51"/>
      <c r="V75" s="51"/>
      <c r="W75" s="51"/>
      <c r="X75" s="51"/>
      <c r="Y75" s="49"/>
      <c r="Z75" s="49"/>
      <c r="AA75" s="49"/>
      <c r="AB75" s="49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</row>
    <row r="76" spans="2:45" x14ac:dyDescent="0.25"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49"/>
      <c r="M76" s="49"/>
      <c r="N76" s="49"/>
      <c r="O76" s="49"/>
      <c r="P76" s="49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</row>
    <row r="77" spans="2:45" x14ac:dyDescent="0.25"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49"/>
      <c r="M77" s="49"/>
      <c r="N77" s="49"/>
      <c r="O77" s="49"/>
      <c r="P77" s="49"/>
      <c r="Q77" s="51"/>
      <c r="R77" s="51"/>
      <c r="S77" s="51"/>
      <c r="T77" s="51"/>
      <c r="U77" s="51"/>
      <c r="V77" s="51"/>
      <c r="W77" s="51"/>
      <c r="X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</row>
    <row r="78" spans="2:45" x14ac:dyDescent="0.25"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49"/>
      <c r="M78" s="49"/>
      <c r="N78" s="49"/>
      <c r="O78" s="49"/>
      <c r="P78" s="49"/>
      <c r="Q78" s="51"/>
      <c r="R78" s="51"/>
      <c r="S78" s="51"/>
      <c r="T78" s="51"/>
      <c r="U78" s="51"/>
      <c r="V78" s="51"/>
      <c r="W78" s="51"/>
      <c r="X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</row>
    <row r="79" spans="2:45" x14ac:dyDescent="0.25"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49"/>
      <c r="M79" s="49"/>
      <c r="N79" s="49"/>
      <c r="O79" s="49"/>
      <c r="P79" s="49"/>
      <c r="Q79" s="51"/>
      <c r="R79" s="51"/>
      <c r="S79" s="51"/>
      <c r="T79" s="51"/>
      <c r="U79" s="51"/>
      <c r="V79" s="51"/>
      <c r="W79" s="51"/>
      <c r="X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</row>
    <row r="80" spans="2:45" x14ac:dyDescent="0.25"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49"/>
      <c r="M80" s="49"/>
      <c r="N80" s="49"/>
      <c r="O80" s="49"/>
      <c r="P80" s="49"/>
      <c r="Q80" s="51"/>
      <c r="R80" s="51"/>
      <c r="S80" s="51"/>
      <c r="T80" s="51"/>
      <c r="U80" s="51"/>
      <c r="V80" s="51"/>
      <c r="W80" s="51"/>
      <c r="X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</row>
    <row r="81" spans="2:45" x14ac:dyDescent="0.25"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49"/>
      <c r="M81" s="49"/>
      <c r="N81" s="49"/>
      <c r="O81" s="49"/>
      <c r="P81" s="49"/>
      <c r="Q81" s="51"/>
      <c r="R81" s="51"/>
      <c r="S81" s="51"/>
      <c r="T81" s="51"/>
      <c r="U81" s="51"/>
      <c r="V81" s="51"/>
      <c r="W81" s="51"/>
      <c r="X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</row>
    <row r="82" spans="2:45" x14ac:dyDescent="0.25"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49"/>
      <c r="M82" s="49"/>
      <c r="N82" s="49"/>
      <c r="O82" s="49"/>
      <c r="P82" s="49"/>
      <c r="Q82" s="51"/>
      <c r="R82" s="51"/>
      <c r="S82" s="51"/>
      <c r="T82" s="51"/>
      <c r="U82" s="51"/>
      <c r="V82" s="51"/>
      <c r="W82" s="51"/>
      <c r="X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</row>
    <row r="83" spans="2:45" x14ac:dyDescent="0.25"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49"/>
      <c r="M83" s="49"/>
      <c r="N83" s="49"/>
      <c r="O83" s="49"/>
      <c r="P83" s="49"/>
      <c r="Q83" s="51"/>
      <c r="R83" s="51"/>
      <c r="S83" s="51"/>
      <c r="T83" s="51"/>
      <c r="U83" s="51"/>
      <c r="V83" s="51"/>
      <c r="W83" s="51"/>
      <c r="X83" s="51"/>
      <c r="Y83" s="53"/>
      <c r="Z83" s="53"/>
      <c r="AA83" s="53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</row>
    <row r="84" spans="2:45" x14ac:dyDescent="0.25"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49"/>
      <c r="M84" s="49"/>
      <c r="N84" s="49"/>
      <c r="O84" s="49"/>
      <c r="P84" s="49"/>
      <c r="Q84" s="51"/>
      <c r="R84" s="51"/>
      <c r="S84" s="51"/>
      <c r="T84" s="51"/>
      <c r="U84" s="51"/>
      <c r="V84" s="51"/>
      <c r="W84" s="51"/>
      <c r="X84" s="51"/>
      <c r="Y84" s="53"/>
      <c r="Z84" s="53"/>
      <c r="AA84" s="53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</row>
    <row r="85" spans="2:45" x14ac:dyDescent="0.25"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49"/>
      <c r="M85" s="49"/>
      <c r="N85" s="49"/>
      <c r="O85" s="49"/>
      <c r="P85" s="49"/>
      <c r="Q85" s="51"/>
      <c r="R85" s="51"/>
      <c r="S85" s="51"/>
      <c r="T85" s="51"/>
      <c r="U85" s="51"/>
      <c r="V85" s="51"/>
      <c r="W85" s="51"/>
      <c r="X85" s="51"/>
      <c r="Y85" s="53"/>
      <c r="Z85" s="53"/>
      <c r="AA85" s="53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</row>
    <row r="86" spans="2:45" x14ac:dyDescent="0.25"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49"/>
      <c r="M86" s="49"/>
      <c r="N86" s="49"/>
      <c r="O86" s="49"/>
      <c r="P86" s="49"/>
      <c r="Q86" s="51"/>
      <c r="R86" s="51"/>
      <c r="S86" s="51"/>
      <c r="T86" s="51"/>
      <c r="U86" s="51"/>
      <c r="V86" s="51"/>
      <c r="W86" s="51"/>
      <c r="X86" s="51"/>
      <c r="Y86" s="53"/>
      <c r="Z86" s="53"/>
      <c r="AA86" s="53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</row>
    <row r="87" spans="2:45" x14ac:dyDescent="0.25"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49"/>
      <c r="M87" s="49"/>
      <c r="N87" s="49"/>
      <c r="O87" s="49"/>
      <c r="P87" s="49"/>
      <c r="Q87" s="51"/>
      <c r="R87" s="51"/>
      <c r="S87" s="51"/>
      <c r="T87" s="51"/>
      <c r="U87" s="51"/>
      <c r="V87" s="51"/>
      <c r="W87" s="51"/>
      <c r="X87" s="51"/>
      <c r="Y87" s="53"/>
      <c r="Z87" s="53"/>
      <c r="AA87" s="53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</row>
    <row r="88" spans="2:45" x14ac:dyDescent="0.25"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49"/>
      <c r="M88" s="49"/>
      <c r="N88" s="49"/>
      <c r="O88" s="49"/>
      <c r="P88" s="49"/>
      <c r="Q88" s="51"/>
      <c r="R88" s="51"/>
      <c r="S88" s="51"/>
      <c r="T88" s="51"/>
      <c r="U88" s="51"/>
      <c r="V88" s="51"/>
      <c r="W88" s="51"/>
      <c r="X88" s="51"/>
      <c r="Y88" s="53"/>
      <c r="Z88" s="53"/>
      <c r="AA88" s="53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</row>
    <row r="89" spans="2:45" x14ac:dyDescent="0.25"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49"/>
      <c r="M89" s="49"/>
      <c r="N89" s="49"/>
      <c r="O89" s="49"/>
      <c r="P89" s="49"/>
      <c r="Q89" s="51"/>
      <c r="R89" s="51"/>
      <c r="S89" s="51"/>
      <c r="T89" s="51"/>
      <c r="U89" s="51"/>
      <c r="V89" s="51"/>
      <c r="W89" s="51"/>
      <c r="X89" s="51"/>
      <c r="Y89" s="53"/>
      <c r="Z89" s="53"/>
      <c r="AA89" s="53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</row>
    <row r="90" spans="2:45" x14ac:dyDescent="0.25"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49"/>
      <c r="M90" s="49"/>
      <c r="N90" s="49"/>
      <c r="O90" s="49"/>
      <c r="P90" s="49"/>
      <c r="Q90" s="51"/>
      <c r="R90" s="51"/>
      <c r="S90" s="51"/>
      <c r="T90" s="51"/>
      <c r="U90" s="51"/>
      <c r="V90" s="51"/>
      <c r="W90" s="51"/>
      <c r="X90" s="51"/>
      <c r="Y90" s="53"/>
      <c r="Z90" s="53"/>
      <c r="AA90" s="53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</row>
    <row r="91" spans="2:45" x14ac:dyDescent="0.25"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49"/>
      <c r="M91" s="49"/>
      <c r="N91" s="49"/>
      <c r="O91" s="49"/>
      <c r="P91" s="49"/>
      <c r="Q91" s="51"/>
      <c r="R91" s="51"/>
      <c r="S91" s="51"/>
      <c r="T91" s="51"/>
      <c r="U91" s="51"/>
      <c r="V91" s="51"/>
      <c r="W91" s="51"/>
      <c r="X91" s="51"/>
      <c r="Y91" s="53"/>
      <c r="Z91" s="53"/>
      <c r="AA91" s="53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</row>
    <row r="92" spans="2:45" x14ac:dyDescent="0.25"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49"/>
      <c r="M92" s="49"/>
      <c r="N92" s="49"/>
      <c r="O92" s="49"/>
      <c r="P92" s="49"/>
      <c r="Q92" s="51"/>
      <c r="R92" s="51"/>
      <c r="S92" s="51"/>
      <c r="T92" s="51"/>
      <c r="U92" s="51"/>
      <c r="V92" s="51"/>
      <c r="W92" s="51"/>
      <c r="X92" s="51"/>
      <c r="Y92" s="53"/>
      <c r="Z92" s="53"/>
      <c r="AA92" s="53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</row>
    <row r="93" spans="2:45" x14ac:dyDescent="0.25"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49"/>
      <c r="M93" s="49"/>
      <c r="N93" s="49"/>
      <c r="O93" s="49"/>
      <c r="P93" s="49"/>
      <c r="Q93" s="51"/>
      <c r="R93" s="51"/>
      <c r="S93" s="51"/>
      <c r="T93" s="51"/>
      <c r="U93" s="51"/>
      <c r="V93" s="51"/>
      <c r="W93" s="51"/>
      <c r="X93" s="51"/>
      <c r="Y93" s="53"/>
      <c r="Z93" s="53"/>
      <c r="AA93" s="53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</row>
    <row r="94" spans="2:45" x14ac:dyDescent="0.25">
      <c r="B94" s="82"/>
      <c r="C94" s="82"/>
      <c r="D94" s="51"/>
      <c r="E94" s="51"/>
      <c r="F94" s="51"/>
      <c r="G94" s="51"/>
      <c r="H94" s="51"/>
      <c r="I94" s="51"/>
      <c r="J94" s="51"/>
      <c r="K94" s="51"/>
      <c r="L94" s="49"/>
      <c r="M94" s="49"/>
      <c r="N94" s="49"/>
      <c r="O94" s="49"/>
      <c r="P94" s="49"/>
      <c r="Q94" s="51"/>
      <c r="R94" s="51"/>
      <c r="S94" s="51"/>
      <c r="T94" s="51"/>
      <c r="U94" s="51"/>
      <c r="V94" s="51"/>
      <c r="W94" s="51"/>
      <c r="X94" s="51"/>
      <c r="Y94" s="53"/>
      <c r="Z94" s="53"/>
      <c r="AA94" s="53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</row>
    <row r="95" spans="2:45" x14ac:dyDescent="0.25">
      <c r="B95" s="82"/>
      <c r="C95" s="82"/>
      <c r="D95" s="51"/>
      <c r="E95" s="51"/>
      <c r="F95" s="51"/>
      <c r="G95" s="51"/>
      <c r="H95" s="51"/>
      <c r="I95" s="51"/>
      <c r="J95" s="51"/>
      <c r="K95" s="51"/>
      <c r="L95" s="49"/>
      <c r="M95" s="49"/>
      <c r="N95" s="49"/>
      <c r="O95" s="49"/>
      <c r="P95" s="49"/>
      <c r="Q95" s="51"/>
      <c r="R95" s="51"/>
      <c r="S95" s="51"/>
      <c r="T95" s="51"/>
      <c r="U95" s="51"/>
      <c r="V95" s="51"/>
      <c r="W95" s="51"/>
      <c r="X95" s="51"/>
      <c r="Y95" s="53"/>
      <c r="Z95" s="53"/>
      <c r="AA95" s="53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</row>
    <row r="96" spans="2:45" x14ac:dyDescent="0.25">
      <c r="B96" s="82"/>
      <c r="C96" s="82"/>
      <c r="D96" s="51"/>
      <c r="E96" s="51"/>
      <c r="F96" s="51"/>
      <c r="G96" s="51"/>
      <c r="H96" s="51"/>
      <c r="I96" s="51"/>
      <c r="J96" s="51"/>
      <c r="K96" s="51"/>
      <c r="L96" s="49"/>
      <c r="M96" s="49"/>
      <c r="N96" s="49"/>
      <c r="O96" s="49"/>
      <c r="P96" s="49"/>
      <c r="Q96" s="51"/>
      <c r="R96" s="51"/>
      <c r="S96" s="51"/>
      <c r="T96" s="51"/>
      <c r="U96" s="51"/>
      <c r="V96" s="51"/>
      <c r="W96" s="51"/>
      <c r="X96" s="51"/>
      <c r="Y96" s="53"/>
      <c r="Z96" s="53"/>
      <c r="AA96" s="53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</row>
    <row r="97" spans="2:45" x14ac:dyDescent="0.25">
      <c r="B97" s="82"/>
      <c r="C97" s="82"/>
      <c r="D97" s="51"/>
      <c r="E97" s="51"/>
      <c r="F97" s="51"/>
      <c r="G97" s="51"/>
      <c r="H97" s="51"/>
      <c r="I97" s="51"/>
      <c r="J97" s="51"/>
      <c r="K97" s="51"/>
      <c r="L97" s="49"/>
      <c r="M97" s="49"/>
      <c r="N97" s="49"/>
      <c r="O97" s="49"/>
      <c r="P97" s="49"/>
      <c r="Q97" s="51"/>
      <c r="R97" s="51"/>
      <c r="S97" s="51"/>
      <c r="T97" s="51"/>
      <c r="U97" s="51"/>
      <c r="V97" s="51"/>
      <c r="W97" s="51"/>
      <c r="X97" s="51"/>
      <c r="Y97" s="53"/>
      <c r="Z97" s="53"/>
      <c r="AA97" s="53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</row>
    <row r="98" spans="2:45" x14ac:dyDescent="0.25">
      <c r="B98" s="82"/>
      <c r="C98" s="82"/>
      <c r="D98" s="51"/>
      <c r="E98" s="51"/>
      <c r="F98" s="51"/>
      <c r="G98" s="51"/>
      <c r="H98" s="51"/>
      <c r="I98" s="51"/>
      <c r="J98" s="51"/>
      <c r="K98" s="51"/>
      <c r="L98" s="49"/>
      <c r="M98" s="49"/>
      <c r="N98" s="49"/>
      <c r="O98" s="49"/>
      <c r="P98" s="49"/>
      <c r="Q98" s="51"/>
      <c r="R98" s="51"/>
      <c r="S98" s="51"/>
      <c r="T98" s="51"/>
      <c r="U98" s="51"/>
      <c r="V98" s="51"/>
      <c r="W98" s="51"/>
      <c r="X98" s="51"/>
      <c r="Y98" s="53"/>
      <c r="Z98" s="53"/>
      <c r="AA98" s="53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</row>
    <row r="99" spans="2:45" x14ac:dyDescent="0.25">
      <c r="B99" s="82"/>
      <c r="C99" s="82"/>
      <c r="D99" s="51"/>
      <c r="E99" s="51"/>
      <c r="F99" s="51"/>
      <c r="G99" s="51"/>
      <c r="H99" s="51"/>
      <c r="I99" s="51"/>
      <c r="J99" s="51"/>
      <c r="K99" s="51"/>
      <c r="L99" s="49"/>
      <c r="M99" s="49"/>
      <c r="N99" s="49"/>
      <c r="O99" s="49"/>
      <c r="P99" s="49"/>
      <c r="Q99" s="51"/>
      <c r="R99" s="51"/>
      <c r="S99" s="51"/>
      <c r="T99" s="51"/>
      <c r="U99" s="51"/>
      <c r="V99" s="51"/>
      <c r="W99" s="51"/>
      <c r="X99" s="51"/>
      <c r="Y99" s="53"/>
      <c r="Z99" s="53"/>
      <c r="AA99" s="53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</row>
    <row r="100" spans="2:45" x14ac:dyDescent="0.25">
      <c r="B100" s="82"/>
      <c r="C100" s="82"/>
      <c r="D100" s="51"/>
      <c r="E100" s="51"/>
      <c r="F100" s="51"/>
      <c r="G100" s="51"/>
      <c r="H100" s="51"/>
      <c r="I100" s="51"/>
      <c r="J100" s="51"/>
      <c r="K100" s="51"/>
      <c r="L100" s="49"/>
      <c r="M100" s="49"/>
      <c r="N100" s="49"/>
      <c r="O100" s="49"/>
      <c r="P100" s="49"/>
      <c r="Q100" s="51"/>
      <c r="R100" s="51"/>
      <c r="S100" s="51"/>
      <c r="T100" s="51"/>
      <c r="U100" s="51"/>
      <c r="V100" s="51"/>
      <c r="W100" s="51"/>
      <c r="X100" s="51"/>
      <c r="Y100" s="53"/>
      <c r="Z100" s="53"/>
      <c r="AA100" s="53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</row>
    <row r="101" spans="2:45" x14ac:dyDescent="0.25">
      <c r="B101" s="82"/>
      <c r="C101" s="82"/>
      <c r="D101" s="51"/>
      <c r="E101" s="51"/>
      <c r="F101" s="51"/>
      <c r="G101" s="51"/>
      <c r="H101" s="51"/>
      <c r="I101" s="51"/>
      <c r="J101" s="51"/>
      <c r="K101" s="51"/>
      <c r="L101" s="49"/>
      <c r="M101" s="49"/>
      <c r="N101" s="49"/>
      <c r="O101" s="49"/>
      <c r="P101" s="49"/>
      <c r="Q101" s="51"/>
      <c r="R101" s="51"/>
      <c r="S101" s="51"/>
      <c r="T101" s="51"/>
      <c r="U101" s="51"/>
      <c r="V101" s="51"/>
      <c r="W101" s="51"/>
      <c r="X101" s="51"/>
      <c r="Y101" s="53"/>
      <c r="Z101" s="53"/>
      <c r="AA101" s="53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</row>
    <row r="102" spans="2:45" x14ac:dyDescent="0.25">
      <c r="B102" s="82"/>
      <c r="C102" s="82"/>
      <c r="D102" s="51"/>
      <c r="E102" s="51"/>
      <c r="F102" s="51"/>
      <c r="G102" s="51"/>
      <c r="H102" s="51"/>
      <c r="I102" s="51"/>
      <c r="J102" s="51"/>
      <c r="K102" s="51"/>
      <c r="L102" s="49"/>
      <c r="M102" s="49"/>
      <c r="N102" s="49"/>
      <c r="O102" s="49"/>
      <c r="P102" s="49"/>
      <c r="Q102" s="51"/>
      <c r="R102" s="51"/>
      <c r="S102" s="51"/>
      <c r="T102" s="51"/>
      <c r="U102" s="51"/>
      <c r="V102" s="51"/>
      <c r="W102" s="51"/>
      <c r="X102" s="51"/>
      <c r="Y102" s="53"/>
      <c r="Z102" s="53"/>
      <c r="AA102" s="53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</row>
    <row r="103" spans="2:45" x14ac:dyDescent="0.25">
      <c r="B103" s="82"/>
      <c r="C103" s="82"/>
      <c r="D103" s="51"/>
      <c r="E103" s="51"/>
      <c r="F103" s="51"/>
      <c r="G103" s="51"/>
      <c r="H103" s="51"/>
      <c r="I103" s="51"/>
      <c r="J103" s="51"/>
      <c r="K103" s="51"/>
      <c r="L103" s="49"/>
      <c r="M103" s="49"/>
      <c r="N103" s="49"/>
      <c r="O103" s="49"/>
      <c r="P103" s="49"/>
      <c r="Q103" s="51"/>
      <c r="R103" s="51"/>
      <c r="S103" s="51"/>
      <c r="T103" s="51"/>
      <c r="U103" s="51"/>
      <c r="V103" s="51"/>
      <c r="W103" s="51"/>
      <c r="X103" s="51"/>
      <c r="Y103" s="53"/>
      <c r="Z103" s="53"/>
      <c r="AA103" s="53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</row>
    <row r="104" spans="2:45" x14ac:dyDescent="0.25">
      <c r="B104" s="82"/>
      <c r="C104" s="82"/>
      <c r="D104" s="51"/>
      <c r="E104" s="51"/>
      <c r="F104" s="51"/>
      <c r="G104" s="51"/>
      <c r="H104" s="51"/>
      <c r="I104" s="51"/>
      <c r="J104" s="51"/>
      <c r="K104" s="51"/>
      <c r="L104" s="49"/>
      <c r="M104" s="49"/>
      <c r="N104" s="49"/>
      <c r="O104" s="49"/>
      <c r="P104" s="49"/>
      <c r="Q104" s="51"/>
      <c r="R104" s="51"/>
      <c r="S104" s="51"/>
      <c r="T104" s="51"/>
      <c r="U104" s="51"/>
      <c r="V104" s="51"/>
      <c r="W104" s="51"/>
      <c r="X104" s="51"/>
      <c r="Y104" s="53"/>
      <c r="Z104" s="53"/>
      <c r="AA104" s="53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</row>
    <row r="105" spans="2:45" x14ac:dyDescent="0.25">
      <c r="B105" s="82"/>
      <c r="C105" s="82"/>
      <c r="D105" s="51"/>
      <c r="E105" s="51"/>
      <c r="F105" s="51"/>
      <c r="G105" s="51"/>
      <c r="H105" s="51"/>
      <c r="I105" s="51"/>
      <c r="J105" s="51"/>
      <c r="K105" s="51"/>
      <c r="L105" s="49"/>
      <c r="M105" s="49"/>
      <c r="N105" s="49"/>
      <c r="O105" s="49"/>
      <c r="P105" s="49"/>
      <c r="Q105" s="51"/>
      <c r="R105" s="51"/>
      <c r="S105" s="51"/>
      <c r="T105" s="51"/>
      <c r="U105" s="51"/>
      <c r="V105" s="51"/>
      <c r="W105" s="51"/>
      <c r="X105" s="51"/>
      <c r="Y105" s="53"/>
      <c r="Z105" s="53"/>
      <c r="AA105" s="53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</row>
    <row r="106" spans="2:45" x14ac:dyDescent="0.25">
      <c r="B106" s="82"/>
      <c r="C106" s="82"/>
      <c r="D106" s="51"/>
      <c r="E106" s="51"/>
      <c r="F106" s="51"/>
      <c r="G106" s="51"/>
      <c r="H106" s="51"/>
      <c r="I106" s="51"/>
      <c r="J106" s="51"/>
      <c r="K106" s="51"/>
      <c r="L106" s="49"/>
      <c r="M106" s="49"/>
      <c r="N106" s="49"/>
      <c r="O106" s="49"/>
      <c r="P106" s="49"/>
      <c r="Q106" s="51"/>
      <c r="R106" s="51"/>
      <c r="S106" s="51"/>
      <c r="T106" s="51"/>
      <c r="U106" s="51"/>
      <c r="V106" s="51"/>
      <c r="W106" s="51"/>
      <c r="X106" s="51"/>
      <c r="Y106" s="53"/>
      <c r="Z106" s="53"/>
      <c r="AA106" s="53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</row>
    <row r="107" spans="2:45" x14ac:dyDescent="0.25">
      <c r="B107" s="82"/>
      <c r="C107" s="82"/>
      <c r="D107" s="51"/>
      <c r="E107" s="51"/>
      <c r="F107" s="51"/>
      <c r="G107" s="51"/>
      <c r="H107" s="51"/>
      <c r="I107" s="51"/>
      <c r="J107" s="51"/>
      <c r="K107" s="51"/>
      <c r="L107" s="49"/>
      <c r="M107" s="49"/>
      <c r="N107" s="49"/>
      <c r="O107" s="49"/>
      <c r="P107" s="49"/>
      <c r="Q107" s="51"/>
      <c r="R107" s="51"/>
      <c r="S107" s="51"/>
      <c r="T107" s="51"/>
      <c r="U107" s="51"/>
      <c r="V107" s="51"/>
      <c r="W107" s="51"/>
      <c r="X107" s="51"/>
      <c r="Y107" s="53"/>
      <c r="Z107" s="53"/>
      <c r="AA107" s="53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</row>
    <row r="108" spans="2:45" x14ac:dyDescent="0.25">
      <c r="B108" s="82"/>
      <c r="C108" s="82"/>
      <c r="D108" s="51"/>
      <c r="E108" s="51"/>
      <c r="F108" s="51"/>
      <c r="G108" s="51"/>
      <c r="H108" s="51"/>
      <c r="I108" s="51"/>
      <c r="J108" s="51"/>
      <c r="K108" s="51"/>
      <c r="L108" s="49"/>
      <c r="M108" s="49"/>
      <c r="N108" s="49"/>
      <c r="O108" s="49"/>
      <c r="P108" s="49"/>
      <c r="Q108" s="51"/>
      <c r="R108" s="51"/>
      <c r="S108" s="51"/>
      <c r="T108" s="51"/>
      <c r="U108" s="51"/>
      <c r="V108" s="51"/>
      <c r="W108" s="51"/>
      <c r="X108" s="51"/>
      <c r="Y108" s="53"/>
      <c r="Z108" s="53"/>
      <c r="AA108" s="53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</row>
    <row r="109" spans="2:45" x14ac:dyDescent="0.25">
      <c r="B109" s="82"/>
      <c r="C109" s="82"/>
      <c r="D109" s="51"/>
      <c r="E109" s="51"/>
      <c r="F109" s="51"/>
      <c r="G109" s="51"/>
      <c r="H109" s="51"/>
      <c r="I109" s="51"/>
      <c r="J109" s="51"/>
      <c r="K109" s="51"/>
      <c r="L109" s="49"/>
      <c r="M109" s="49"/>
      <c r="N109" s="49"/>
      <c r="O109" s="49"/>
      <c r="P109" s="49"/>
      <c r="Q109" s="51"/>
      <c r="R109" s="51"/>
      <c r="S109" s="51"/>
      <c r="T109" s="51"/>
      <c r="U109" s="51"/>
      <c r="V109" s="51"/>
      <c r="W109" s="51"/>
      <c r="X109" s="51"/>
      <c r="Y109" s="53"/>
      <c r="Z109" s="53"/>
      <c r="AA109" s="53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</row>
    <row r="110" spans="2:45" x14ac:dyDescent="0.25">
      <c r="B110" s="82"/>
      <c r="C110" s="82"/>
      <c r="D110" s="51"/>
      <c r="E110" s="51"/>
      <c r="F110" s="51"/>
      <c r="G110" s="51"/>
      <c r="H110" s="51"/>
      <c r="I110" s="51"/>
      <c r="J110" s="51"/>
      <c r="K110" s="51"/>
      <c r="L110" s="49"/>
      <c r="M110" s="49"/>
      <c r="N110" s="49"/>
      <c r="O110" s="49"/>
      <c r="P110" s="49"/>
      <c r="Q110" s="51"/>
      <c r="R110" s="51"/>
      <c r="S110" s="51"/>
      <c r="T110" s="51"/>
      <c r="U110" s="51"/>
      <c r="V110" s="51"/>
      <c r="W110" s="51"/>
      <c r="X110" s="51"/>
      <c r="Y110" s="53"/>
      <c r="Z110" s="53"/>
      <c r="AA110" s="53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</row>
    <row r="111" spans="2:45" x14ac:dyDescent="0.25">
      <c r="B111" s="82"/>
      <c r="C111" s="82"/>
      <c r="D111" s="51"/>
      <c r="E111" s="51"/>
      <c r="F111" s="51"/>
      <c r="G111" s="51"/>
      <c r="H111" s="51"/>
      <c r="I111" s="51"/>
      <c r="J111" s="51"/>
      <c r="K111" s="51"/>
      <c r="L111" s="49"/>
      <c r="M111" s="49"/>
      <c r="N111" s="49"/>
      <c r="O111" s="49"/>
      <c r="P111" s="49"/>
      <c r="Q111" s="51"/>
      <c r="R111" s="51"/>
      <c r="S111" s="51"/>
      <c r="T111" s="51"/>
      <c r="U111" s="51"/>
      <c r="V111" s="51"/>
      <c r="W111" s="51"/>
      <c r="X111" s="51"/>
      <c r="Y111" s="53"/>
      <c r="Z111" s="53"/>
      <c r="AA111" s="53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</row>
    <row r="112" spans="2:45" x14ac:dyDescent="0.25">
      <c r="B112" s="82"/>
      <c r="C112" s="82"/>
      <c r="D112" s="51"/>
      <c r="E112" s="51"/>
      <c r="F112" s="51"/>
      <c r="G112" s="51"/>
      <c r="H112" s="51"/>
      <c r="I112" s="51"/>
      <c r="J112" s="51"/>
      <c r="K112" s="51"/>
      <c r="L112" s="49"/>
      <c r="M112" s="49"/>
      <c r="N112" s="49"/>
      <c r="O112" s="49"/>
      <c r="P112" s="49"/>
      <c r="Q112" s="51"/>
      <c r="R112" s="51"/>
      <c r="S112" s="51"/>
      <c r="T112" s="51"/>
      <c r="U112" s="51"/>
      <c r="V112" s="51"/>
      <c r="W112" s="51"/>
      <c r="X112" s="51"/>
      <c r="Y112" s="53"/>
      <c r="Z112" s="53"/>
      <c r="AA112" s="53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</row>
    <row r="113" spans="4:45" x14ac:dyDescent="0.25">
      <c r="D113" s="51"/>
      <c r="E113" s="51"/>
      <c r="F113" s="51"/>
      <c r="G113" s="51"/>
      <c r="H113" s="51"/>
      <c r="I113" s="51"/>
      <c r="J113" s="51"/>
      <c r="K113" s="51"/>
      <c r="L113" s="49"/>
      <c r="M113" s="49"/>
      <c r="N113" s="49"/>
      <c r="O113" s="49"/>
      <c r="P113" s="49"/>
      <c r="Q113" s="51"/>
      <c r="R113" s="51"/>
      <c r="S113" s="51"/>
      <c r="T113" s="51"/>
      <c r="U113" s="51"/>
      <c r="V113" s="51"/>
      <c r="W113" s="51"/>
      <c r="X113" s="51"/>
      <c r="Y113" s="53"/>
      <c r="Z113" s="53"/>
      <c r="AA113" s="53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</row>
    <row r="114" spans="4:45" x14ac:dyDescent="0.25">
      <c r="D114" s="51"/>
      <c r="E114" s="51"/>
      <c r="F114" s="51"/>
      <c r="G114" s="51"/>
      <c r="H114" s="51"/>
      <c r="I114" s="51"/>
      <c r="J114" s="51"/>
      <c r="K114" s="51"/>
      <c r="L114" s="49"/>
      <c r="M114" s="49"/>
      <c r="N114" s="49"/>
      <c r="O114" s="49"/>
      <c r="P114" s="49"/>
      <c r="Q114" s="51"/>
      <c r="R114" s="51"/>
      <c r="S114" s="51"/>
      <c r="T114" s="51"/>
      <c r="U114" s="51"/>
      <c r="V114" s="51"/>
      <c r="W114" s="51"/>
      <c r="X114" s="51"/>
      <c r="Y114" s="53"/>
      <c r="Z114" s="53"/>
      <c r="AA114" s="53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</row>
    <row r="115" spans="4:45" x14ac:dyDescent="0.25">
      <c r="D115" s="51"/>
      <c r="E115" s="51"/>
      <c r="F115" s="51"/>
      <c r="G115" s="51"/>
      <c r="H115" s="51"/>
      <c r="I115" s="51"/>
      <c r="J115" s="51"/>
      <c r="K115" s="51"/>
      <c r="L115" s="49"/>
      <c r="M115" s="49"/>
      <c r="N115" s="49"/>
      <c r="O115" s="49"/>
      <c r="P115" s="49"/>
      <c r="Q115" s="51"/>
      <c r="R115" s="51"/>
      <c r="S115" s="51"/>
      <c r="T115" s="51"/>
      <c r="U115" s="51"/>
      <c r="V115" s="51"/>
      <c r="W115" s="51"/>
      <c r="X115" s="51"/>
      <c r="Y115" s="53"/>
      <c r="Z115" s="53"/>
      <c r="AA115" s="53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</row>
    <row r="116" spans="4:45" x14ac:dyDescent="0.25">
      <c r="D116" s="51"/>
      <c r="E116" s="51"/>
      <c r="F116" s="51"/>
      <c r="G116" s="51"/>
      <c r="H116" s="51"/>
      <c r="I116" s="51"/>
      <c r="J116" s="51"/>
      <c r="K116" s="51"/>
      <c r="L116" s="49"/>
      <c r="M116" s="49"/>
      <c r="N116" s="49"/>
      <c r="O116" s="49"/>
      <c r="P116" s="49"/>
      <c r="Q116" s="51"/>
      <c r="R116" s="51"/>
      <c r="S116" s="51"/>
      <c r="T116" s="51"/>
      <c r="U116" s="51"/>
      <c r="V116" s="51"/>
      <c r="W116" s="51"/>
      <c r="X116" s="51"/>
      <c r="Y116" s="53"/>
      <c r="Z116" s="53"/>
      <c r="AA116" s="53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</row>
    <row r="117" spans="4:45" x14ac:dyDescent="0.25">
      <c r="D117" s="51"/>
      <c r="E117" s="51"/>
      <c r="F117" s="51"/>
      <c r="G117" s="51"/>
      <c r="H117" s="51"/>
      <c r="I117" s="51"/>
      <c r="J117" s="51"/>
      <c r="K117" s="51"/>
      <c r="L117" s="49"/>
      <c r="M117" s="49"/>
      <c r="N117" s="49"/>
      <c r="O117" s="49"/>
      <c r="P117" s="49"/>
      <c r="Q117" s="51"/>
      <c r="R117" s="51"/>
      <c r="S117" s="51"/>
      <c r="T117" s="51"/>
      <c r="U117" s="51"/>
      <c r="V117" s="51"/>
      <c r="W117" s="51"/>
      <c r="X117" s="51"/>
      <c r="Y117" s="53"/>
      <c r="Z117" s="53"/>
      <c r="AA117" s="53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</row>
    <row r="118" spans="4:45" x14ac:dyDescent="0.25">
      <c r="D118" s="51"/>
      <c r="E118" s="51"/>
      <c r="F118" s="51"/>
      <c r="G118" s="51"/>
      <c r="H118" s="51"/>
      <c r="I118" s="51"/>
      <c r="J118" s="51"/>
      <c r="K118" s="51"/>
      <c r="L118" s="49"/>
      <c r="M118" s="49"/>
      <c r="N118" s="49"/>
      <c r="O118" s="49"/>
      <c r="P118" s="49"/>
      <c r="Q118" s="51"/>
      <c r="R118" s="51"/>
      <c r="S118" s="51"/>
      <c r="T118" s="51"/>
      <c r="U118" s="51"/>
      <c r="V118" s="51"/>
      <c r="W118" s="51"/>
      <c r="X118" s="51"/>
      <c r="Y118" s="53"/>
      <c r="Z118" s="53"/>
      <c r="AA118" s="53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</row>
    <row r="119" spans="4:45" x14ac:dyDescent="0.25">
      <c r="D119" s="51"/>
      <c r="E119" s="51"/>
      <c r="F119" s="51"/>
      <c r="G119" s="51"/>
      <c r="H119" s="51"/>
      <c r="I119" s="51"/>
      <c r="J119" s="51"/>
      <c r="K119" s="51"/>
      <c r="L119" s="49"/>
      <c r="M119" s="49"/>
      <c r="N119" s="49"/>
      <c r="O119" s="49"/>
      <c r="P119" s="49"/>
      <c r="Q119" s="51"/>
      <c r="R119" s="51"/>
      <c r="S119" s="51"/>
      <c r="T119" s="51"/>
      <c r="U119" s="51"/>
      <c r="V119" s="51"/>
      <c r="W119" s="51"/>
      <c r="X119" s="51"/>
      <c r="Y119" s="53"/>
      <c r="Z119" s="53"/>
      <c r="AA119" s="53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</row>
    <row r="120" spans="4:45" x14ac:dyDescent="0.25">
      <c r="D120" s="51"/>
      <c r="E120" s="51"/>
      <c r="F120" s="51"/>
      <c r="G120" s="51"/>
      <c r="H120" s="51"/>
      <c r="I120" s="51"/>
      <c r="J120" s="51"/>
      <c r="K120" s="51"/>
      <c r="L120" s="49"/>
      <c r="M120" s="49"/>
      <c r="N120" s="49"/>
      <c r="O120" s="49"/>
      <c r="P120" s="49"/>
      <c r="Q120" s="51"/>
      <c r="R120" s="51"/>
      <c r="S120" s="51"/>
      <c r="T120" s="51"/>
      <c r="U120" s="51"/>
      <c r="V120" s="51"/>
      <c r="W120" s="51"/>
      <c r="X120" s="51"/>
      <c r="Y120" s="53"/>
      <c r="Z120" s="53"/>
      <c r="AA120" s="53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</row>
    <row r="121" spans="4:45" x14ac:dyDescent="0.25">
      <c r="D121" s="51"/>
      <c r="E121" s="51"/>
      <c r="F121" s="51"/>
      <c r="G121" s="51"/>
      <c r="H121" s="51"/>
      <c r="I121" s="51"/>
      <c r="J121" s="51"/>
      <c r="K121" s="51"/>
      <c r="L121" s="49"/>
      <c r="M121" s="49"/>
      <c r="N121" s="49"/>
      <c r="O121" s="49"/>
      <c r="P121" s="49"/>
      <c r="Q121" s="51"/>
      <c r="R121" s="51"/>
      <c r="S121" s="51"/>
      <c r="T121" s="51"/>
      <c r="U121" s="51"/>
      <c r="V121" s="51"/>
      <c r="W121" s="51"/>
      <c r="X121" s="51"/>
      <c r="Y121" s="53"/>
      <c r="Z121" s="53"/>
      <c r="AA121" s="53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</row>
    <row r="122" spans="4:45" x14ac:dyDescent="0.25">
      <c r="D122" s="51"/>
      <c r="E122" s="51"/>
      <c r="F122" s="51"/>
      <c r="G122" s="51"/>
      <c r="H122" s="51"/>
      <c r="I122" s="51"/>
      <c r="J122" s="51"/>
      <c r="K122" s="51"/>
      <c r="L122" s="49"/>
      <c r="M122" s="49"/>
      <c r="N122" s="49"/>
      <c r="O122" s="49"/>
      <c r="P122" s="49"/>
      <c r="Q122" s="51"/>
      <c r="R122" s="51"/>
      <c r="S122" s="51"/>
      <c r="T122" s="51"/>
      <c r="U122" s="51"/>
      <c r="V122" s="51"/>
      <c r="W122" s="51"/>
      <c r="X122" s="51"/>
      <c r="Y122" s="53"/>
      <c r="Z122" s="53"/>
      <c r="AA122" s="53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</row>
    <row r="123" spans="4:45" x14ac:dyDescent="0.25">
      <c r="D123" s="51"/>
      <c r="E123" s="51"/>
      <c r="F123" s="51"/>
      <c r="G123" s="51"/>
      <c r="H123" s="51"/>
      <c r="I123" s="51"/>
      <c r="J123" s="51"/>
      <c r="K123" s="51"/>
      <c r="L123" s="49"/>
      <c r="M123" s="49"/>
      <c r="N123" s="49"/>
      <c r="O123" s="49"/>
      <c r="P123" s="49"/>
      <c r="Q123" s="51"/>
      <c r="R123" s="51"/>
      <c r="S123" s="51"/>
      <c r="T123" s="51"/>
      <c r="U123" s="51"/>
      <c r="V123" s="51"/>
      <c r="W123" s="51"/>
      <c r="X123" s="51"/>
      <c r="Y123" s="53"/>
      <c r="Z123" s="53"/>
      <c r="AA123" s="53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</row>
    <row r="124" spans="4:45" x14ac:dyDescent="0.25">
      <c r="D124" s="51"/>
      <c r="E124" s="51"/>
      <c r="F124" s="51"/>
      <c r="G124" s="51"/>
      <c r="H124" s="51"/>
      <c r="I124" s="51"/>
      <c r="J124" s="51"/>
      <c r="K124" s="51"/>
      <c r="L124" s="49"/>
      <c r="M124" s="49"/>
      <c r="N124" s="49"/>
      <c r="O124" s="49"/>
      <c r="P124" s="49"/>
      <c r="Q124" s="51"/>
      <c r="R124" s="51"/>
      <c r="S124" s="51"/>
      <c r="T124" s="51"/>
      <c r="U124" s="51"/>
      <c r="V124" s="51"/>
      <c r="W124" s="51"/>
      <c r="X124" s="51"/>
      <c r="Y124" s="53"/>
      <c r="Z124" s="53"/>
      <c r="AA124" s="53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</row>
    <row r="125" spans="4:45" x14ac:dyDescent="0.25">
      <c r="D125" s="51"/>
      <c r="E125" s="51"/>
      <c r="F125" s="51"/>
      <c r="G125" s="51"/>
      <c r="H125" s="51"/>
      <c r="I125" s="51"/>
      <c r="J125" s="51"/>
      <c r="K125" s="51"/>
      <c r="L125" s="49"/>
      <c r="M125" s="49"/>
      <c r="N125" s="49"/>
      <c r="O125" s="49"/>
      <c r="P125" s="49"/>
      <c r="Q125" s="51"/>
      <c r="R125" s="51"/>
      <c r="S125" s="51"/>
      <c r="T125" s="51"/>
      <c r="U125" s="51"/>
      <c r="V125" s="51"/>
      <c r="W125" s="51"/>
      <c r="X125" s="51"/>
      <c r="Y125" s="53"/>
      <c r="Z125" s="53"/>
      <c r="AA125" s="53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</row>
    <row r="126" spans="4:45" x14ac:dyDescent="0.25">
      <c r="D126" s="51"/>
      <c r="E126" s="51"/>
      <c r="F126" s="51"/>
      <c r="G126" s="51"/>
      <c r="H126" s="51"/>
      <c r="I126" s="51"/>
      <c r="J126" s="51"/>
      <c r="K126" s="51"/>
      <c r="L126" s="49"/>
      <c r="M126" s="49"/>
      <c r="N126" s="49"/>
      <c r="O126" s="49"/>
      <c r="P126" s="49"/>
      <c r="Q126" s="51"/>
      <c r="R126" s="51"/>
      <c r="S126" s="51"/>
      <c r="T126" s="51"/>
      <c r="U126" s="51"/>
      <c r="V126" s="51"/>
      <c r="W126" s="51"/>
      <c r="X126" s="51"/>
      <c r="Y126" s="53"/>
      <c r="Z126" s="53"/>
      <c r="AA126" s="53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</row>
    <row r="127" spans="4:45" x14ac:dyDescent="0.25">
      <c r="D127" s="51"/>
      <c r="E127" s="51"/>
      <c r="F127" s="51"/>
      <c r="G127" s="51"/>
      <c r="H127" s="51"/>
      <c r="I127" s="51"/>
      <c r="J127" s="51"/>
      <c r="K127" s="51"/>
      <c r="L127" s="49"/>
      <c r="M127" s="49"/>
      <c r="N127" s="49"/>
      <c r="O127" s="49"/>
      <c r="P127" s="49"/>
      <c r="Q127" s="51"/>
      <c r="R127" s="51"/>
      <c r="S127" s="51"/>
      <c r="T127" s="51"/>
      <c r="U127" s="51"/>
      <c r="V127" s="51"/>
      <c r="W127" s="51"/>
      <c r="X127" s="51"/>
      <c r="Y127" s="53"/>
      <c r="Z127" s="53"/>
      <c r="AA127" s="53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</row>
    <row r="128" spans="4:45" x14ac:dyDescent="0.25">
      <c r="D128" s="51"/>
      <c r="E128" s="51"/>
      <c r="F128" s="51"/>
      <c r="G128" s="51"/>
      <c r="H128" s="51"/>
      <c r="I128" s="51"/>
      <c r="J128" s="51"/>
      <c r="K128" s="51"/>
      <c r="L128" s="49"/>
      <c r="M128" s="49"/>
      <c r="N128" s="49"/>
      <c r="O128" s="49"/>
      <c r="P128" s="49"/>
      <c r="Q128" s="51"/>
      <c r="R128" s="51"/>
      <c r="S128" s="51"/>
      <c r="T128" s="51"/>
      <c r="U128" s="51"/>
      <c r="V128" s="51"/>
      <c r="W128" s="51"/>
      <c r="X128" s="51"/>
      <c r="Y128" s="53"/>
      <c r="Z128" s="53"/>
      <c r="AA128" s="53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</row>
    <row r="129" spans="4:45" x14ac:dyDescent="0.25">
      <c r="D129" s="51"/>
      <c r="E129" s="51"/>
      <c r="F129" s="51"/>
      <c r="G129" s="51"/>
      <c r="H129" s="51"/>
      <c r="I129" s="51"/>
      <c r="J129" s="51"/>
      <c r="K129" s="51"/>
      <c r="L129" s="49"/>
      <c r="M129" s="49"/>
      <c r="N129" s="49"/>
      <c r="O129" s="49"/>
      <c r="P129" s="49"/>
      <c r="Q129" s="51"/>
      <c r="R129" s="51"/>
      <c r="S129" s="51"/>
      <c r="T129" s="51"/>
      <c r="U129" s="51"/>
      <c r="V129" s="51"/>
      <c r="W129" s="51"/>
      <c r="X129" s="51"/>
      <c r="Y129" s="53"/>
      <c r="Z129" s="53"/>
      <c r="AA129" s="53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</row>
    <row r="130" spans="4:45" x14ac:dyDescent="0.25">
      <c r="D130" s="51"/>
      <c r="E130" s="51"/>
      <c r="F130" s="51"/>
      <c r="G130" s="51"/>
      <c r="H130" s="51"/>
      <c r="I130" s="51"/>
      <c r="J130" s="51"/>
      <c r="K130" s="51"/>
      <c r="L130" s="49"/>
      <c r="M130" s="49"/>
      <c r="N130" s="49"/>
      <c r="O130" s="49"/>
      <c r="P130" s="49"/>
      <c r="Q130" s="51"/>
      <c r="R130" s="51"/>
      <c r="S130" s="51"/>
      <c r="T130" s="51"/>
      <c r="U130" s="51"/>
      <c r="V130" s="51"/>
      <c r="W130" s="51"/>
      <c r="X130" s="51"/>
      <c r="Y130" s="53"/>
      <c r="Z130" s="53"/>
      <c r="AA130" s="53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</row>
    <row r="131" spans="4:45" x14ac:dyDescent="0.25">
      <c r="D131" s="51"/>
      <c r="E131" s="51"/>
      <c r="F131" s="51"/>
      <c r="G131" s="51"/>
      <c r="H131" s="51"/>
      <c r="I131" s="51"/>
      <c r="J131" s="51"/>
      <c r="K131" s="51"/>
      <c r="L131" s="49"/>
      <c r="M131" s="49"/>
      <c r="N131" s="49"/>
      <c r="O131" s="49"/>
      <c r="P131" s="49"/>
      <c r="Q131" s="51"/>
      <c r="R131" s="51"/>
      <c r="S131" s="51"/>
      <c r="T131" s="51"/>
      <c r="U131" s="51"/>
      <c r="V131" s="51"/>
      <c r="W131" s="51"/>
      <c r="X131" s="51"/>
      <c r="Y131" s="53"/>
      <c r="Z131" s="53"/>
      <c r="AA131" s="53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</row>
    <row r="132" spans="4:45" x14ac:dyDescent="0.25">
      <c r="D132" s="51"/>
      <c r="E132" s="51"/>
      <c r="F132" s="51"/>
      <c r="G132" s="51"/>
      <c r="H132" s="51"/>
      <c r="I132" s="51"/>
      <c r="J132" s="51"/>
      <c r="K132" s="51"/>
      <c r="L132" s="49"/>
      <c r="M132" s="49"/>
      <c r="N132" s="49"/>
      <c r="O132" s="49"/>
      <c r="P132" s="49"/>
      <c r="Q132" s="51"/>
      <c r="R132" s="51"/>
      <c r="S132" s="51"/>
      <c r="T132" s="51"/>
      <c r="U132" s="51"/>
      <c r="V132" s="51"/>
      <c r="W132" s="51"/>
      <c r="X132" s="51"/>
      <c r="Y132" s="53"/>
      <c r="Z132" s="53"/>
      <c r="AA132" s="53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</row>
    <row r="133" spans="4:45" x14ac:dyDescent="0.25"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3"/>
      <c r="Z133" s="53"/>
      <c r="AA133" s="53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</row>
    <row r="134" spans="4:45" x14ac:dyDescent="0.25"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3"/>
      <c r="Z134" s="53"/>
      <c r="AA134" s="53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</row>
    <row r="135" spans="4:45" x14ac:dyDescent="0.25"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3"/>
      <c r="Z135" s="53"/>
      <c r="AA135" s="53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</row>
    <row r="136" spans="4:45" x14ac:dyDescent="0.25"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3"/>
      <c r="Z136" s="53"/>
      <c r="AA136" s="53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</row>
    <row r="137" spans="4:45" x14ac:dyDescent="0.25"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3"/>
      <c r="Z137" s="53"/>
      <c r="AA137" s="53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</row>
    <row r="138" spans="4:45" x14ac:dyDescent="0.25"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3"/>
      <c r="Z138" s="53"/>
      <c r="AA138" s="53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</row>
    <row r="139" spans="4:45" x14ac:dyDescent="0.25"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3"/>
      <c r="Z139" s="53"/>
      <c r="AA139" s="53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</row>
    <row r="140" spans="4:45" x14ac:dyDescent="0.25"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3"/>
      <c r="Z140" s="53"/>
      <c r="AA140" s="53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</row>
    <row r="141" spans="4:45" x14ac:dyDescent="0.25"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3"/>
      <c r="Z141" s="53"/>
      <c r="AA141" s="53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</row>
    <row r="142" spans="4:45" x14ac:dyDescent="0.25"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3"/>
      <c r="Z142" s="53"/>
      <c r="AA142" s="53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</row>
    <row r="143" spans="4:45" x14ac:dyDescent="0.25"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3"/>
      <c r="Z143" s="53"/>
      <c r="AA143" s="53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</row>
    <row r="144" spans="4:45" x14ac:dyDescent="0.25"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3"/>
      <c r="Z144" s="53"/>
      <c r="AA144" s="53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</row>
    <row r="145" spans="4:45" x14ac:dyDescent="0.25"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3"/>
      <c r="Z145" s="53"/>
      <c r="AA145" s="53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</row>
    <row r="146" spans="4:45" x14ac:dyDescent="0.25"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3"/>
      <c r="Z146" s="53"/>
      <c r="AA146" s="53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</row>
    <row r="147" spans="4:45" x14ac:dyDescent="0.25"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3"/>
      <c r="Z147" s="53"/>
      <c r="AA147" s="53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</row>
    <row r="148" spans="4:45" x14ac:dyDescent="0.25"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3"/>
      <c r="Z148" s="53"/>
      <c r="AA148" s="53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</row>
    <row r="149" spans="4:45" x14ac:dyDescent="0.25"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3"/>
      <c r="Z149" s="53"/>
      <c r="AA149" s="53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</row>
    <row r="150" spans="4:45" x14ac:dyDescent="0.25"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3"/>
      <c r="Z150" s="53"/>
      <c r="AA150" s="53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</row>
    <row r="151" spans="4:45" x14ac:dyDescent="0.25"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3"/>
      <c r="Z151" s="53"/>
      <c r="AA151" s="53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</row>
    <row r="152" spans="4:45" x14ac:dyDescent="0.25"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3"/>
      <c r="Z152" s="53"/>
      <c r="AA152" s="53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</row>
    <row r="153" spans="4:45" x14ac:dyDescent="0.25"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3"/>
      <c r="Z153" s="53"/>
      <c r="AA153" s="53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</row>
    <row r="154" spans="4:45" x14ac:dyDescent="0.25"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3"/>
      <c r="Z154" s="53"/>
      <c r="AA154" s="53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</row>
    <row r="155" spans="4:45" x14ac:dyDescent="0.25"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3"/>
      <c r="Z155" s="53"/>
      <c r="AA155" s="53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</row>
    <row r="156" spans="4:45" x14ac:dyDescent="0.25"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3"/>
      <c r="Z156" s="53"/>
      <c r="AA156" s="53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</row>
    <row r="157" spans="4:45" x14ac:dyDescent="0.25"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3"/>
      <c r="Z157" s="53"/>
      <c r="AA157" s="53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</row>
    <row r="158" spans="4:45" x14ac:dyDescent="0.25"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3"/>
      <c r="Z158" s="53"/>
      <c r="AA158" s="53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</row>
    <row r="159" spans="4:45" x14ac:dyDescent="0.25"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3"/>
      <c r="Z159" s="53"/>
      <c r="AA159" s="53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</row>
    <row r="160" spans="4:45" x14ac:dyDescent="0.25"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3"/>
      <c r="Z160" s="53"/>
      <c r="AA160" s="53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</row>
    <row r="161" spans="4:45" x14ac:dyDescent="0.25"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3"/>
      <c r="Z161" s="53"/>
      <c r="AA161" s="53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</row>
    <row r="162" spans="4:45" x14ac:dyDescent="0.25"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3"/>
      <c r="Z162" s="53"/>
      <c r="AA162" s="53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</row>
    <row r="163" spans="4:45" x14ac:dyDescent="0.25"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3"/>
      <c r="Z163" s="53"/>
      <c r="AA163" s="53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</row>
    <row r="164" spans="4:45" x14ac:dyDescent="0.25"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3"/>
      <c r="Z164" s="53"/>
      <c r="AA164" s="53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</row>
    <row r="165" spans="4:45" x14ac:dyDescent="0.25"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3"/>
      <c r="Z165" s="53"/>
      <c r="AA165" s="53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</row>
    <row r="166" spans="4:45" x14ac:dyDescent="0.25"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3"/>
      <c r="Z166" s="53"/>
      <c r="AA166" s="53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</row>
    <row r="167" spans="4:45" x14ac:dyDescent="0.25"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3"/>
      <c r="Z167" s="53"/>
      <c r="AA167" s="53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</row>
    <row r="168" spans="4:45" x14ac:dyDescent="0.25"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3"/>
      <c r="Z168" s="53"/>
      <c r="AA168" s="53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</row>
    <row r="169" spans="4:45" x14ac:dyDescent="0.25"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3"/>
      <c r="Z169" s="53"/>
      <c r="AA169" s="53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</row>
    <row r="170" spans="4:45" x14ac:dyDescent="0.25"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3"/>
      <c r="Z170" s="53"/>
      <c r="AA170" s="53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</row>
    <row r="171" spans="4:45" x14ac:dyDescent="0.25"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3"/>
      <c r="Z171" s="53"/>
      <c r="AA171" s="53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</row>
    <row r="172" spans="4:45" x14ac:dyDescent="0.25"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3"/>
      <c r="Z172" s="53"/>
      <c r="AA172" s="53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</row>
    <row r="173" spans="4:45" x14ac:dyDescent="0.25"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3"/>
      <c r="Z173" s="53"/>
      <c r="AA173" s="53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</row>
    <row r="174" spans="4:45" x14ac:dyDescent="0.25"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3"/>
      <c r="Z174" s="53"/>
      <c r="AA174" s="53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</row>
    <row r="175" spans="4:45" x14ac:dyDescent="0.25"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</row>
    <row r="176" spans="4:45" x14ac:dyDescent="0.25"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</row>
    <row r="177" spans="4:45" x14ac:dyDescent="0.25"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</row>
    <row r="178" spans="4:45" x14ac:dyDescent="0.25"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</row>
    <row r="179" spans="4:45" x14ac:dyDescent="0.25"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</row>
    <row r="180" spans="4:45" x14ac:dyDescent="0.25"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</row>
    <row r="181" spans="4:45" x14ac:dyDescent="0.25"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</row>
    <row r="182" spans="4:45" x14ac:dyDescent="0.25"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</row>
    <row r="183" spans="4:45" x14ac:dyDescent="0.25"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</row>
    <row r="184" spans="4:45" x14ac:dyDescent="0.25"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</row>
    <row r="185" spans="4:45" x14ac:dyDescent="0.25"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</row>
    <row r="186" spans="4:45" x14ac:dyDescent="0.25"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</row>
    <row r="187" spans="4:45" x14ac:dyDescent="0.25"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</row>
    <row r="188" spans="4:45" x14ac:dyDescent="0.25"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</row>
    <row r="189" spans="4:45" x14ac:dyDescent="0.25"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</row>
    <row r="190" spans="4:45" x14ac:dyDescent="0.25"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</row>
    <row r="191" spans="4:45" x14ac:dyDescent="0.25"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</row>
    <row r="192" spans="4:45" x14ac:dyDescent="0.25"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</row>
    <row r="193" spans="22:45" x14ac:dyDescent="0.25"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</row>
    <row r="194" spans="22:45" x14ac:dyDescent="0.25"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</row>
    <row r="195" spans="22:45" x14ac:dyDescent="0.25"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</row>
    <row r="196" spans="22:45" x14ac:dyDescent="0.25"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</row>
    <row r="197" spans="22:45" x14ac:dyDescent="0.25"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</row>
    <row r="198" spans="22:45" x14ac:dyDescent="0.25"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</row>
    <row r="199" spans="22:45" x14ac:dyDescent="0.25"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</row>
    <row r="200" spans="22:45" x14ac:dyDescent="0.25"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</row>
    <row r="201" spans="22:45" x14ac:dyDescent="0.25"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</row>
    <row r="202" spans="22:45" x14ac:dyDescent="0.25"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</row>
    <row r="203" spans="22:45" x14ac:dyDescent="0.25"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</row>
    <row r="204" spans="22:45" x14ac:dyDescent="0.25"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</row>
    <row r="205" spans="22:45" x14ac:dyDescent="0.25"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</row>
    <row r="206" spans="22:45" x14ac:dyDescent="0.25"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</row>
    <row r="207" spans="22:45" x14ac:dyDescent="0.25"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</row>
    <row r="208" spans="22:45" x14ac:dyDescent="0.25"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</row>
    <row r="209" spans="22:45" x14ac:dyDescent="0.25"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</row>
    <row r="210" spans="22:45" x14ac:dyDescent="0.25"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</row>
    <row r="211" spans="22:45" x14ac:dyDescent="0.25"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</row>
    <row r="212" spans="22:45" x14ac:dyDescent="0.25"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</row>
    <row r="213" spans="22:45" x14ac:dyDescent="0.25"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</row>
    <row r="214" spans="22:45" x14ac:dyDescent="0.25"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</row>
    <row r="215" spans="22:45" x14ac:dyDescent="0.25"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</row>
    <row r="216" spans="22:45" x14ac:dyDescent="0.25"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</row>
    <row r="217" spans="22:45" x14ac:dyDescent="0.25"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</row>
    <row r="218" spans="22:45" x14ac:dyDescent="0.25"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</row>
    <row r="219" spans="22:45" x14ac:dyDescent="0.25"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</row>
    <row r="220" spans="22:45" x14ac:dyDescent="0.25"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</row>
    <row r="221" spans="22:45" x14ac:dyDescent="0.25"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</row>
    <row r="222" spans="22:45" x14ac:dyDescent="0.25"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</row>
    <row r="223" spans="22:45" x14ac:dyDescent="0.25"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</row>
    <row r="224" spans="22:45" x14ac:dyDescent="0.25"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</row>
    <row r="225" spans="22:45" x14ac:dyDescent="0.25"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</row>
    <row r="226" spans="22:45" x14ac:dyDescent="0.25"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</row>
    <row r="227" spans="22:45" x14ac:dyDescent="0.25"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</row>
    <row r="228" spans="22:45" x14ac:dyDescent="0.25"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</row>
    <row r="229" spans="22:45" x14ac:dyDescent="0.25"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</row>
    <row r="230" spans="22:45" x14ac:dyDescent="0.25"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</row>
    <row r="231" spans="22:45" x14ac:dyDescent="0.25"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</row>
    <row r="232" spans="22:45" x14ac:dyDescent="0.25"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</row>
    <row r="233" spans="22:45" x14ac:dyDescent="0.25"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</row>
    <row r="234" spans="22:45" x14ac:dyDescent="0.25"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</row>
    <row r="235" spans="22:45" x14ac:dyDescent="0.25"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</row>
    <row r="236" spans="22:45" x14ac:dyDescent="0.25"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</row>
    <row r="237" spans="22:45" x14ac:dyDescent="0.25"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</row>
    <row r="238" spans="22:45" x14ac:dyDescent="0.25"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</row>
    <row r="239" spans="22:45" x14ac:dyDescent="0.25"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</row>
    <row r="240" spans="22:45" x14ac:dyDescent="0.25"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</row>
    <row r="241" spans="22:45" x14ac:dyDescent="0.25"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</row>
    <row r="242" spans="22:45" x14ac:dyDescent="0.25"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</row>
    <row r="243" spans="22:45" x14ac:dyDescent="0.25"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</row>
    <row r="244" spans="22:45" x14ac:dyDescent="0.25"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</row>
    <row r="245" spans="22:45" x14ac:dyDescent="0.25"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</row>
    <row r="246" spans="22:45" x14ac:dyDescent="0.25"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</row>
    <row r="247" spans="22:45" x14ac:dyDescent="0.25"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</row>
    <row r="248" spans="22:45" x14ac:dyDescent="0.25"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</row>
    <row r="249" spans="22:45" x14ac:dyDescent="0.25"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</row>
    <row r="250" spans="22:45" x14ac:dyDescent="0.25"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</row>
    <row r="251" spans="22:45" x14ac:dyDescent="0.25"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</row>
    <row r="252" spans="22:45" x14ac:dyDescent="0.25"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</row>
    <row r="253" spans="22:45" x14ac:dyDescent="0.25"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</row>
    <row r="254" spans="22:45" x14ac:dyDescent="0.25"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</row>
    <row r="255" spans="22:45" x14ac:dyDescent="0.25"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</row>
    <row r="256" spans="22:45" x14ac:dyDescent="0.25"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</row>
    <row r="257" spans="22:45" x14ac:dyDescent="0.25"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</row>
    <row r="258" spans="22:45" x14ac:dyDescent="0.25"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</row>
    <row r="259" spans="22:45" x14ac:dyDescent="0.25"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</row>
    <row r="260" spans="22:45" x14ac:dyDescent="0.25"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</row>
    <row r="261" spans="22:45" x14ac:dyDescent="0.25"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</row>
    <row r="262" spans="22:45" x14ac:dyDescent="0.25"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</row>
    <row r="263" spans="22:45" x14ac:dyDescent="0.25"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</row>
    <row r="264" spans="22:45" x14ac:dyDescent="0.25"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</row>
    <row r="265" spans="22:45" x14ac:dyDescent="0.25"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</row>
    <row r="266" spans="22:45" x14ac:dyDescent="0.25"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</row>
    <row r="267" spans="22:45" x14ac:dyDescent="0.25"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</row>
    <row r="268" spans="22:45" x14ac:dyDescent="0.25"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</row>
    <row r="269" spans="22:45" x14ac:dyDescent="0.25"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</row>
    <row r="270" spans="22:45" x14ac:dyDescent="0.25"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</row>
    <row r="271" spans="22:45" x14ac:dyDescent="0.25"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</row>
    <row r="272" spans="22:45" x14ac:dyDescent="0.25"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</row>
    <row r="273" spans="22:45" x14ac:dyDescent="0.25"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</row>
    <row r="274" spans="22:45" x14ac:dyDescent="0.25"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</row>
    <row r="275" spans="22:45" x14ac:dyDescent="0.25"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</row>
    <row r="276" spans="22:45" x14ac:dyDescent="0.25"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</row>
    <row r="277" spans="22:45" x14ac:dyDescent="0.25"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</row>
    <row r="278" spans="22:45" x14ac:dyDescent="0.25"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</row>
    <row r="279" spans="22:45" x14ac:dyDescent="0.25"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</row>
    <row r="280" spans="22:45" x14ac:dyDescent="0.25"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</row>
    <row r="281" spans="22:45" x14ac:dyDescent="0.25"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</row>
    <row r="282" spans="22:45" x14ac:dyDescent="0.25"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</row>
    <row r="283" spans="22:45" x14ac:dyDescent="0.25"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</row>
    <row r="284" spans="22:45" x14ac:dyDescent="0.25"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</row>
    <row r="285" spans="22:45" x14ac:dyDescent="0.25"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</row>
    <row r="286" spans="22:45" x14ac:dyDescent="0.25"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</row>
    <row r="287" spans="22:45" x14ac:dyDescent="0.25"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</row>
    <row r="288" spans="22:45" x14ac:dyDescent="0.25"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</row>
    <row r="289" spans="22:45" x14ac:dyDescent="0.25"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</row>
    <row r="290" spans="22:45" x14ac:dyDescent="0.25"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</row>
    <row r="291" spans="22:45" x14ac:dyDescent="0.25"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</row>
    <row r="292" spans="22:45" x14ac:dyDescent="0.25"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</row>
    <row r="293" spans="22:45" x14ac:dyDescent="0.25"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</row>
    <row r="294" spans="22:45" x14ac:dyDescent="0.25"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</row>
    <row r="295" spans="22:45" x14ac:dyDescent="0.25"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</row>
    <row r="296" spans="22:45" x14ac:dyDescent="0.25"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</row>
    <row r="297" spans="22:45" x14ac:dyDescent="0.25"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</row>
    <row r="298" spans="22:45" x14ac:dyDescent="0.25"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</row>
    <row r="299" spans="22:45" x14ac:dyDescent="0.25"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</row>
    <row r="300" spans="22:45" x14ac:dyDescent="0.25"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</row>
    <row r="301" spans="22:45" x14ac:dyDescent="0.25"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</row>
    <row r="302" spans="22:45" x14ac:dyDescent="0.25"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</row>
    <row r="303" spans="22:45" x14ac:dyDescent="0.25"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</row>
    <row r="304" spans="22:45" x14ac:dyDescent="0.25"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</row>
    <row r="305" spans="22:45" x14ac:dyDescent="0.25"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</row>
    <row r="306" spans="22:45" x14ac:dyDescent="0.25"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</row>
    <row r="307" spans="22:45" x14ac:dyDescent="0.25"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</row>
    <row r="308" spans="22:45" x14ac:dyDescent="0.25"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</row>
    <row r="309" spans="22:45" x14ac:dyDescent="0.25"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</row>
    <row r="310" spans="22:45" x14ac:dyDescent="0.25"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</row>
    <row r="311" spans="22:45" x14ac:dyDescent="0.25"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</row>
    <row r="312" spans="22:45" x14ac:dyDescent="0.25"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</row>
    <row r="313" spans="22:45" x14ac:dyDescent="0.25"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</row>
    <row r="314" spans="22:45" x14ac:dyDescent="0.25"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</row>
    <row r="315" spans="22:45" x14ac:dyDescent="0.25"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</row>
    <row r="316" spans="22:45" x14ac:dyDescent="0.25"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</row>
    <row r="317" spans="22:45" x14ac:dyDescent="0.25"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</row>
    <row r="318" spans="22:45" x14ac:dyDescent="0.25"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</row>
    <row r="319" spans="22:45" x14ac:dyDescent="0.25"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</row>
    <row r="320" spans="22:45" x14ac:dyDescent="0.25"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</row>
    <row r="321" spans="25:45" x14ac:dyDescent="0.25">
      <c r="Y321" s="49"/>
      <c r="Z321" s="49"/>
      <c r="AA321" s="49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</row>
    <row r="322" spans="25:45" x14ac:dyDescent="0.25">
      <c r="Y322" s="49"/>
      <c r="Z322" s="49"/>
      <c r="AA322" s="49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</row>
    <row r="323" spans="25:45" x14ac:dyDescent="0.25">
      <c r="Y323" s="49"/>
      <c r="Z323" s="49"/>
      <c r="AA323" s="49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</row>
    <row r="324" spans="25:45" x14ac:dyDescent="0.25">
      <c r="Y324" s="49"/>
      <c r="Z324" s="49"/>
      <c r="AA324" s="49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</row>
    <row r="325" spans="25:45" x14ac:dyDescent="0.25">
      <c r="Y325" s="49"/>
      <c r="Z325" s="49"/>
      <c r="AA325" s="49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</row>
    <row r="326" spans="25:45" x14ac:dyDescent="0.25">
      <c r="Y326" s="49"/>
      <c r="Z326" s="49"/>
      <c r="AA326" s="49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</row>
    <row r="327" spans="25:45" x14ac:dyDescent="0.25">
      <c r="Y327" s="49"/>
      <c r="Z327" s="49"/>
      <c r="AA327" s="49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</row>
    <row r="328" spans="25:45" x14ac:dyDescent="0.25">
      <c r="Y328" s="49"/>
      <c r="Z328" s="49"/>
      <c r="AA328" s="49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</row>
    <row r="329" spans="25:45" x14ac:dyDescent="0.25">
      <c r="Y329" s="49"/>
      <c r="Z329" s="49"/>
      <c r="AA329" s="49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</row>
    <row r="330" spans="25:45" x14ac:dyDescent="0.25">
      <c r="Y330" s="49"/>
      <c r="Z330" s="49"/>
      <c r="AA330" s="49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</row>
    <row r="331" spans="25:45" x14ac:dyDescent="0.25">
      <c r="Y331" s="49"/>
      <c r="Z331" s="49"/>
      <c r="AA331" s="49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</row>
    <row r="332" spans="25:45" x14ac:dyDescent="0.25">
      <c r="Y332" s="49"/>
      <c r="Z332" s="49"/>
      <c r="AA332" s="49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</row>
    <row r="333" spans="25:45" x14ac:dyDescent="0.25">
      <c r="Y333" s="49"/>
      <c r="Z333" s="49"/>
      <c r="AA333" s="49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</row>
    <row r="334" spans="25:45" x14ac:dyDescent="0.25">
      <c r="Y334" s="49"/>
      <c r="Z334" s="49"/>
      <c r="AA334" s="49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</row>
    <row r="335" spans="25:45" x14ac:dyDescent="0.25">
      <c r="Y335" s="49"/>
      <c r="Z335" s="49"/>
      <c r="AA335" s="49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</row>
    <row r="336" spans="25:45" x14ac:dyDescent="0.25">
      <c r="Y336" s="49"/>
      <c r="Z336" s="49"/>
      <c r="AA336" s="49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</row>
    <row r="337" spans="25:45" x14ac:dyDescent="0.25">
      <c r="Y337" s="49"/>
      <c r="Z337" s="49"/>
      <c r="AA337" s="49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</row>
    <row r="338" spans="25:45" x14ac:dyDescent="0.25">
      <c r="Y338" s="49"/>
      <c r="Z338" s="49"/>
      <c r="AA338" s="49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</row>
    <row r="339" spans="25:45" x14ac:dyDescent="0.25">
      <c r="Y339" s="49"/>
      <c r="Z339" s="49"/>
      <c r="AA339" s="49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</row>
    <row r="340" spans="25:45" x14ac:dyDescent="0.25">
      <c r="Y340" s="49"/>
      <c r="Z340" s="49"/>
      <c r="AA340" s="49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</row>
    <row r="341" spans="25:45" x14ac:dyDescent="0.25">
      <c r="Y341" s="49"/>
      <c r="Z341" s="49"/>
      <c r="AA341" s="49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</row>
    <row r="342" spans="25:45" x14ac:dyDescent="0.25">
      <c r="Y342" s="49"/>
      <c r="Z342" s="49"/>
      <c r="AA342" s="49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</row>
    <row r="343" spans="25:45" x14ac:dyDescent="0.25">
      <c r="Y343" s="49"/>
      <c r="Z343" s="49"/>
      <c r="AA343" s="49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</row>
    <row r="344" spans="25:45" x14ac:dyDescent="0.25">
      <c r="Y344" s="49"/>
      <c r="Z344" s="49"/>
      <c r="AA344" s="49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</row>
    <row r="345" spans="25:45" x14ac:dyDescent="0.25">
      <c r="Y345" s="49"/>
      <c r="Z345" s="49"/>
      <c r="AA345" s="49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</row>
    <row r="346" spans="25:45" x14ac:dyDescent="0.25">
      <c r="Y346" s="49"/>
      <c r="Z346" s="49"/>
      <c r="AA346" s="49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</row>
    <row r="347" spans="25:45" x14ac:dyDescent="0.25">
      <c r="Y347" s="49"/>
      <c r="Z347" s="49"/>
      <c r="AA347" s="49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</row>
    <row r="348" spans="25:45" x14ac:dyDescent="0.25">
      <c r="Y348" s="49"/>
      <c r="Z348" s="49"/>
      <c r="AA348" s="49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</row>
    <row r="349" spans="25:45" x14ac:dyDescent="0.25">
      <c r="Y349" s="49"/>
      <c r="Z349" s="49"/>
      <c r="AA349" s="49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</row>
    <row r="350" spans="25:45" x14ac:dyDescent="0.25">
      <c r="Y350" s="49"/>
      <c r="Z350" s="49"/>
      <c r="AA350" s="49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</row>
    <row r="351" spans="25:45" x14ac:dyDescent="0.25">
      <c r="Y351" s="49"/>
      <c r="Z351" s="49"/>
      <c r="AA351" s="49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</row>
    <row r="352" spans="25:45" x14ac:dyDescent="0.25">
      <c r="Y352" s="49"/>
      <c r="Z352" s="49"/>
      <c r="AA352" s="49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</row>
    <row r="353" spans="25:45" x14ac:dyDescent="0.25">
      <c r="Y353" s="49"/>
      <c r="Z353" s="49"/>
      <c r="AA353" s="49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</row>
    <row r="354" spans="25:45" x14ac:dyDescent="0.25">
      <c r="Y354" s="49"/>
      <c r="Z354" s="49"/>
      <c r="AA354" s="49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</row>
    <row r="355" spans="25:45" x14ac:dyDescent="0.25">
      <c r="Y355" s="49"/>
      <c r="Z355" s="49"/>
      <c r="AA355" s="49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</row>
    <row r="356" spans="25:45" x14ac:dyDescent="0.25">
      <c r="Y356" s="49"/>
      <c r="Z356" s="49"/>
      <c r="AA356" s="49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</row>
    <row r="357" spans="25:45" x14ac:dyDescent="0.25">
      <c r="Y357" s="49"/>
      <c r="Z357" s="49"/>
      <c r="AA357" s="49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</row>
    <row r="358" spans="25:45" x14ac:dyDescent="0.25">
      <c r="Y358" s="49"/>
      <c r="Z358" s="49"/>
      <c r="AA358" s="49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</row>
    <row r="359" spans="25:45" x14ac:dyDescent="0.25">
      <c r="Y359" s="49"/>
      <c r="Z359" s="49"/>
      <c r="AA359" s="49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</row>
    <row r="360" spans="25:45" x14ac:dyDescent="0.25">
      <c r="Y360" s="49"/>
      <c r="Z360" s="49"/>
      <c r="AA360" s="49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</row>
    <row r="361" spans="25:45" x14ac:dyDescent="0.25">
      <c r="Y361" s="49"/>
      <c r="Z361" s="49"/>
      <c r="AA361" s="49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</row>
    <row r="362" spans="25:45" x14ac:dyDescent="0.25">
      <c r="Y362" s="49"/>
      <c r="Z362" s="49"/>
      <c r="AA362" s="49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</row>
    <row r="363" spans="25:45" x14ac:dyDescent="0.25">
      <c r="Y363" s="49"/>
      <c r="Z363" s="49"/>
      <c r="AA363" s="49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</row>
    <row r="364" spans="25:45" x14ac:dyDescent="0.25">
      <c r="Y364" s="49"/>
      <c r="Z364" s="49"/>
      <c r="AA364" s="49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</row>
    <row r="365" spans="25:45" x14ac:dyDescent="0.25">
      <c r="Y365" s="49"/>
      <c r="Z365" s="49"/>
      <c r="AA365" s="49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</row>
    <row r="366" spans="25:45" x14ac:dyDescent="0.25">
      <c r="Y366" s="49"/>
      <c r="Z366" s="49"/>
      <c r="AA366" s="49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</row>
    <row r="367" spans="25:45" x14ac:dyDescent="0.25">
      <c r="Y367" s="49"/>
      <c r="Z367" s="49"/>
      <c r="AA367" s="49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</row>
    <row r="368" spans="25:45" x14ac:dyDescent="0.25">
      <c r="Y368" s="49"/>
      <c r="Z368" s="49"/>
      <c r="AA368" s="49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</row>
    <row r="369" spans="25:45" x14ac:dyDescent="0.25">
      <c r="Y369" s="49"/>
      <c r="Z369" s="49"/>
      <c r="AA369" s="49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</row>
    <row r="370" spans="25:45" x14ac:dyDescent="0.25">
      <c r="Y370" s="49"/>
      <c r="Z370" s="49"/>
      <c r="AA370" s="49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</row>
    <row r="371" spans="25:45" x14ac:dyDescent="0.25">
      <c r="Y371" s="49"/>
      <c r="Z371" s="49"/>
      <c r="AA371" s="49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</row>
    <row r="372" spans="25:45" x14ac:dyDescent="0.25">
      <c r="Y372" s="49"/>
      <c r="Z372" s="49"/>
      <c r="AA372" s="49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</row>
    <row r="373" spans="25:45" x14ac:dyDescent="0.25">
      <c r="Y373" s="49"/>
      <c r="Z373" s="49"/>
      <c r="AA373" s="49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</row>
    <row r="374" spans="25:45" x14ac:dyDescent="0.25">
      <c r="Y374" s="49"/>
      <c r="Z374" s="49"/>
      <c r="AA374" s="49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</row>
    <row r="375" spans="25:45" x14ac:dyDescent="0.25">
      <c r="Y375" s="49"/>
      <c r="Z375" s="49"/>
      <c r="AA375" s="49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</row>
    <row r="376" spans="25:45" x14ac:dyDescent="0.25">
      <c r="Y376" s="49"/>
      <c r="Z376" s="49"/>
      <c r="AA376" s="49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</row>
    <row r="377" spans="25:45" x14ac:dyDescent="0.25">
      <c r="Y377" s="49"/>
      <c r="Z377" s="49"/>
      <c r="AA377" s="49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</row>
    <row r="378" spans="25:45" x14ac:dyDescent="0.25">
      <c r="Y378" s="49"/>
      <c r="Z378" s="49"/>
      <c r="AA378" s="49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</row>
    <row r="379" spans="25:45" x14ac:dyDescent="0.25">
      <c r="Y379" s="49"/>
      <c r="Z379" s="49"/>
      <c r="AA379" s="49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</row>
    <row r="380" spans="25:45" x14ac:dyDescent="0.25">
      <c r="Y380" s="49"/>
      <c r="Z380" s="49"/>
      <c r="AA380" s="49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</row>
    <row r="381" spans="25:45" x14ac:dyDescent="0.25">
      <c r="Y381" s="49"/>
      <c r="Z381" s="49"/>
      <c r="AA381" s="49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</row>
    <row r="382" spans="25:45" x14ac:dyDescent="0.25">
      <c r="Y382" s="49"/>
      <c r="Z382" s="49"/>
      <c r="AA382" s="49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</row>
    <row r="383" spans="25:45" x14ac:dyDescent="0.25">
      <c r="Y383" s="49"/>
      <c r="Z383" s="49"/>
      <c r="AA383" s="49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</row>
    <row r="384" spans="25:45" x14ac:dyDescent="0.25">
      <c r="Y384" s="49"/>
      <c r="Z384" s="49"/>
      <c r="AA384" s="49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</row>
    <row r="385" spans="25:45" x14ac:dyDescent="0.25">
      <c r="Y385" s="49"/>
      <c r="Z385" s="49"/>
      <c r="AA385" s="49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</row>
    <row r="386" spans="25:45" x14ac:dyDescent="0.25">
      <c r="Y386" s="49"/>
      <c r="Z386" s="49"/>
      <c r="AA386" s="49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</row>
    <row r="387" spans="25:45" x14ac:dyDescent="0.25">
      <c r="Y387" s="49"/>
      <c r="Z387" s="49"/>
      <c r="AA387" s="49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</row>
    <row r="388" spans="25:45" x14ac:dyDescent="0.25">
      <c r="Y388" s="49"/>
      <c r="Z388" s="49"/>
      <c r="AA388" s="49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</row>
    <row r="389" spans="25:45" x14ac:dyDescent="0.25">
      <c r="Y389" s="49"/>
      <c r="Z389" s="49"/>
      <c r="AA389" s="49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</row>
    <row r="390" spans="25:45" x14ac:dyDescent="0.25">
      <c r="Y390" s="49"/>
      <c r="Z390" s="49"/>
      <c r="AA390" s="49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</row>
    <row r="391" spans="25:45" x14ac:dyDescent="0.25">
      <c r="Y391" s="49"/>
      <c r="Z391" s="49"/>
      <c r="AA391" s="49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</row>
    <row r="392" spans="25:45" x14ac:dyDescent="0.25">
      <c r="Y392" s="49"/>
      <c r="Z392" s="49"/>
      <c r="AA392" s="49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</row>
    <row r="393" spans="25:45" x14ac:dyDescent="0.25">
      <c r="Y393" s="49"/>
      <c r="Z393" s="49"/>
      <c r="AA393" s="49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</row>
    <row r="394" spans="25:45" x14ac:dyDescent="0.25">
      <c r="Y394" s="49"/>
      <c r="Z394" s="49"/>
      <c r="AA394" s="49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</row>
    <row r="395" spans="25:45" x14ac:dyDescent="0.25">
      <c r="Y395" s="49"/>
      <c r="Z395" s="49"/>
      <c r="AA395" s="49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</row>
    <row r="396" spans="25:45" x14ac:dyDescent="0.25">
      <c r="Y396" s="49"/>
      <c r="Z396" s="49"/>
      <c r="AA396" s="49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</row>
    <row r="397" spans="25:45" x14ac:dyDescent="0.25">
      <c r="Y397" s="49"/>
      <c r="Z397" s="49"/>
      <c r="AA397" s="49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</row>
    <row r="398" spans="25:45" x14ac:dyDescent="0.25">
      <c r="Y398" s="49"/>
      <c r="Z398" s="49"/>
      <c r="AA398" s="49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</row>
    <row r="399" spans="25:45" x14ac:dyDescent="0.25">
      <c r="Y399" s="49"/>
      <c r="Z399" s="49"/>
      <c r="AA399" s="49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</row>
    <row r="400" spans="25:45" x14ac:dyDescent="0.25">
      <c r="Y400" s="49"/>
      <c r="Z400" s="49"/>
      <c r="AA400" s="49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</row>
    <row r="401" spans="25:45" x14ac:dyDescent="0.25">
      <c r="Y401" s="49"/>
      <c r="Z401" s="49"/>
      <c r="AA401" s="49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</row>
    <row r="402" spans="25:45" x14ac:dyDescent="0.25">
      <c r="Y402" s="49"/>
      <c r="Z402" s="49"/>
      <c r="AA402" s="49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</row>
    <row r="403" spans="25:45" x14ac:dyDescent="0.25">
      <c r="Y403" s="49"/>
      <c r="Z403" s="49"/>
      <c r="AA403" s="49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</row>
    <row r="404" spans="25:45" x14ac:dyDescent="0.25">
      <c r="Y404" s="49"/>
      <c r="Z404" s="49"/>
      <c r="AA404" s="49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</row>
    <row r="405" spans="25:45" x14ac:dyDescent="0.25">
      <c r="Y405" s="49"/>
      <c r="Z405" s="49"/>
      <c r="AA405" s="49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</row>
    <row r="406" spans="25:45" x14ac:dyDescent="0.25">
      <c r="Y406" s="49"/>
      <c r="Z406" s="49"/>
      <c r="AA406" s="49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</row>
    <row r="407" spans="25:45" x14ac:dyDescent="0.25">
      <c r="Y407" s="49"/>
      <c r="Z407" s="49"/>
      <c r="AA407" s="49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</row>
    <row r="408" spans="25:45" x14ac:dyDescent="0.25">
      <c r="Y408" s="49"/>
      <c r="Z408" s="49"/>
      <c r="AA408" s="49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</row>
    <row r="409" spans="25:45" x14ac:dyDescent="0.25">
      <c r="Y409" s="49"/>
      <c r="Z409" s="49"/>
      <c r="AA409" s="49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</row>
    <row r="410" spans="25:45" x14ac:dyDescent="0.25">
      <c r="Y410" s="49"/>
      <c r="Z410" s="49"/>
      <c r="AA410" s="49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</row>
    <row r="411" spans="25:45" x14ac:dyDescent="0.25">
      <c r="Y411" s="49"/>
      <c r="Z411" s="49"/>
      <c r="AA411" s="49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</row>
    <row r="412" spans="25:45" x14ac:dyDescent="0.25">
      <c r="Y412" s="49"/>
      <c r="Z412" s="49"/>
      <c r="AA412" s="49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</row>
    <row r="413" spans="25:45" x14ac:dyDescent="0.25">
      <c r="Y413" s="49"/>
      <c r="Z413" s="49"/>
      <c r="AA413" s="49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</row>
    <row r="414" spans="25:45" x14ac:dyDescent="0.25">
      <c r="Y414" s="49"/>
      <c r="Z414" s="49"/>
      <c r="AA414" s="49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</row>
    <row r="415" spans="25:45" x14ac:dyDescent="0.25">
      <c r="Y415" s="49"/>
      <c r="Z415" s="49"/>
      <c r="AA415" s="49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</row>
    <row r="416" spans="25:45" x14ac:dyDescent="0.25">
      <c r="Y416" s="49"/>
      <c r="Z416" s="49"/>
      <c r="AA416" s="49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</row>
    <row r="417" spans="25:45" x14ac:dyDescent="0.25">
      <c r="Y417" s="49"/>
      <c r="Z417" s="49"/>
      <c r="AA417" s="49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</row>
    <row r="418" spans="25:45" x14ac:dyDescent="0.25">
      <c r="Y418" s="49"/>
      <c r="Z418" s="49"/>
      <c r="AA418" s="49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</row>
    <row r="419" spans="25:45" x14ac:dyDescent="0.25">
      <c r="Y419" s="49"/>
      <c r="Z419" s="49"/>
      <c r="AA419" s="49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</row>
    <row r="420" spans="25:45" x14ac:dyDescent="0.25">
      <c r="Y420" s="49"/>
      <c r="Z420" s="49"/>
      <c r="AA420" s="49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</row>
    <row r="421" spans="25:45" x14ac:dyDescent="0.25">
      <c r="Y421" s="49"/>
      <c r="Z421" s="49"/>
      <c r="AA421" s="49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</row>
    <row r="422" spans="25:45" x14ac:dyDescent="0.25">
      <c r="Y422" s="49"/>
      <c r="Z422" s="49"/>
      <c r="AA422" s="49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</row>
    <row r="423" spans="25:45" x14ac:dyDescent="0.25">
      <c r="Y423" s="49"/>
      <c r="Z423" s="49"/>
      <c r="AA423" s="49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</row>
    <row r="424" spans="25:45" x14ac:dyDescent="0.25">
      <c r="Y424" s="49"/>
      <c r="Z424" s="49"/>
      <c r="AA424" s="49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</row>
    <row r="425" spans="25:45" x14ac:dyDescent="0.25">
      <c r="Y425" s="49"/>
      <c r="Z425" s="49"/>
      <c r="AA425" s="49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</row>
    <row r="426" spans="25:45" x14ac:dyDescent="0.25">
      <c r="Y426" s="49"/>
      <c r="Z426" s="49"/>
      <c r="AA426" s="49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</row>
    <row r="427" spans="25:45" x14ac:dyDescent="0.25">
      <c r="Y427" s="49"/>
      <c r="Z427" s="49"/>
      <c r="AA427" s="49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</row>
    <row r="428" spans="25:45" x14ac:dyDescent="0.25">
      <c r="Y428" s="49"/>
      <c r="Z428" s="49"/>
      <c r="AA428" s="49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</row>
    <row r="429" spans="25:45" x14ac:dyDescent="0.25">
      <c r="Y429" s="49"/>
      <c r="Z429" s="49"/>
      <c r="AA429" s="49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</row>
    <row r="430" spans="25:45" x14ac:dyDescent="0.25">
      <c r="Y430" s="49"/>
      <c r="Z430" s="49"/>
      <c r="AA430" s="49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</row>
    <row r="431" spans="25:45" x14ac:dyDescent="0.25">
      <c r="Y431" s="49"/>
      <c r="Z431" s="49"/>
      <c r="AA431" s="49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</row>
    <row r="432" spans="25:45" x14ac:dyDescent="0.25">
      <c r="Y432" s="49"/>
      <c r="Z432" s="49"/>
      <c r="AA432" s="49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</row>
    <row r="433" spans="25:45" x14ac:dyDescent="0.25">
      <c r="Y433" s="49"/>
      <c r="Z433" s="49"/>
      <c r="AA433" s="49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</row>
    <row r="434" spans="25:45" x14ac:dyDescent="0.25">
      <c r="Y434" s="49"/>
      <c r="Z434" s="49"/>
      <c r="AA434" s="49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</row>
    <row r="435" spans="25:45" x14ac:dyDescent="0.25">
      <c r="Y435" s="49"/>
      <c r="Z435" s="49"/>
      <c r="AA435" s="49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</row>
    <row r="436" spans="25:45" x14ac:dyDescent="0.25">
      <c r="Y436" s="49"/>
      <c r="Z436" s="49"/>
      <c r="AA436" s="49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</row>
    <row r="437" spans="25:45" x14ac:dyDescent="0.25">
      <c r="Y437" s="49"/>
      <c r="Z437" s="49"/>
      <c r="AA437" s="49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</row>
    <row r="438" spans="25:45" x14ac:dyDescent="0.25">
      <c r="Y438" s="49"/>
      <c r="Z438" s="49"/>
      <c r="AA438" s="49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</row>
    <row r="439" spans="25:45" x14ac:dyDescent="0.25">
      <c r="Y439" s="49"/>
      <c r="Z439" s="49"/>
      <c r="AA439" s="49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</row>
    <row r="440" spans="25:45" x14ac:dyDescent="0.25">
      <c r="Y440" s="49"/>
      <c r="Z440" s="49"/>
      <c r="AA440" s="49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</row>
    <row r="441" spans="25:45" x14ac:dyDescent="0.25"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</row>
    <row r="442" spans="25:45" x14ac:dyDescent="0.25"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</row>
    <row r="443" spans="25:45" x14ac:dyDescent="0.25"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</row>
    <row r="444" spans="25:45" x14ac:dyDescent="0.25"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</row>
    <row r="445" spans="25:45" x14ac:dyDescent="0.25"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</row>
    <row r="446" spans="25:45" x14ac:dyDescent="0.25"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</row>
    <row r="447" spans="25:45" x14ac:dyDescent="0.25"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</row>
    <row r="448" spans="25:45" x14ac:dyDescent="0.25"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</row>
    <row r="449" spans="26:45" x14ac:dyDescent="0.25"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</row>
    <row r="450" spans="26:45" x14ac:dyDescent="0.25"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</row>
    <row r="451" spans="26:45" x14ac:dyDescent="0.25"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</row>
    <row r="452" spans="26:45" x14ac:dyDescent="0.25"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</row>
    <row r="453" spans="26:45" x14ac:dyDescent="0.25"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</row>
    <row r="454" spans="26:45" x14ac:dyDescent="0.25"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</row>
    <row r="455" spans="26:45" x14ac:dyDescent="0.25"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</row>
    <row r="456" spans="26:45" x14ac:dyDescent="0.25"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</row>
    <row r="457" spans="26:45" x14ac:dyDescent="0.25"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</row>
    <row r="458" spans="26:45" x14ac:dyDescent="0.25"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</row>
    <row r="459" spans="26:45" x14ac:dyDescent="0.25"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</row>
    <row r="460" spans="26:45" x14ac:dyDescent="0.25"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</row>
    <row r="461" spans="26:45" x14ac:dyDescent="0.25"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</row>
    <row r="462" spans="26:45" x14ac:dyDescent="0.25"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</row>
    <row r="463" spans="26:45" x14ac:dyDescent="0.25"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</row>
    <row r="464" spans="26:45" x14ac:dyDescent="0.25"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</row>
    <row r="465" spans="26:45" x14ac:dyDescent="0.25"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</row>
    <row r="466" spans="26:45" x14ac:dyDescent="0.25"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</row>
    <row r="467" spans="26:45" x14ac:dyDescent="0.25"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</row>
    <row r="468" spans="26:45" x14ac:dyDescent="0.25"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</row>
    <row r="469" spans="26:45" x14ac:dyDescent="0.25"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</row>
    <row r="470" spans="26:45" x14ac:dyDescent="0.25"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</row>
    <row r="471" spans="26:45" x14ac:dyDescent="0.25"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</row>
    <row r="472" spans="26:45" x14ac:dyDescent="0.25"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</row>
    <row r="473" spans="26:45" x14ac:dyDescent="0.25"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</row>
    <row r="474" spans="26:45" x14ac:dyDescent="0.25"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</row>
    <row r="475" spans="26:45" x14ac:dyDescent="0.25"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</row>
    <row r="476" spans="26:45" x14ac:dyDescent="0.25"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</row>
    <row r="477" spans="26:45" x14ac:dyDescent="0.25"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</row>
    <row r="478" spans="26:45" x14ac:dyDescent="0.25"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</row>
    <row r="479" spans="26:45" x14ac:dyDescent="0.25"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</row>
    <row r="480" spans="26:45" x14ac:dyDescent="0.25"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</row>
    <row r="481" spans="26:45" x14ac:dyDescent="0.25"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</row>
    <row r="482" spans="26:45" x14ac:dyDescent="0.25"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</row>
    <row r="483" spans="26:45" x14ac:dyDescent="0.25"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</row>
    <row r="484" spans="26:45" x14ac:dyDescent="0.25"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</row>
    <row r="485" spans="26:45" x14ac:dyDescent="0.25"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</row>
    <row r="486" spans="26:45" x14ac:dyDescent="0.25"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</row>
    <row r="487" spans="26:45" x14ac:dyDescent="0.25"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</row>
    <row r="488" spans="26:45" x14ac:dyDescent="0.25"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</row>
    <row r="489" spans="26:45" x14ac:dyDescent="0.25"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</row>
    <row r="490" spans="26:45" x14ac:dyDescent="0.25"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</row>
    <row r="491" spans="26:45" x14ac:dyDescent="0.25"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</row>
    <row r="492" spans="26:45" x14ac:dyDescent="0.25"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</row>
    <row r="493" spans="26:45" x14ac:dyDescent="0.25"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</row>
    <row r="494" spans="26:45" x14ac:dyDescent="0.25"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</row>
    <row r="495" spans="26:45" x14ac:dyDescent="0.25"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</row>
    <row r="496" spans="26:45" x14ac:dyDescent="0.25"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</row>
    <row r="497" spans="26:45" x14ac:dyDescent="0.25"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</row>
    <row r="498" spans="26:45" x14ac:dyDescent="0.25"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</row>
    <row r="499" spans="26:45" x14ac:dyDescent="0.25"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</row>
    <row r="500" spans="26:45" x14ac:dyDescent="0.25"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</row>
    <row r="501" spans="26:45" x14ac:dyDescent="0.25"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</row>
    <row r="502" spans="26:45" x14ac:dyDescent="0.25"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</row>
    <row r="503" spans="26:45" x14ac:dyDescent="0.25"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</row>
    <row r="504" spans="26:45" x14ac:dyDescent="0.25"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</row>
    <row r="505" spans="26:45" x14ac:dyDescent="0.25"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</row>
    <row r="506" spans="26:45" x14ac:dyDescent="0.25"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</row>
    <row r="507" spans="26:45" x14ac:dyDescent="0.25"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</row>
    <row r="508" spans="26:45" x14ac:dyDescent="0.25"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</row>
    <row r="509" spans="26:45" x14ac:dyDescent="0.25"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</row>
    <row r="510" spans="26:45" x14ac:dyDescent="0.25"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</row>
    <row r="511" spans="26:45" x14ac:dyDescent="0.25"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</row>
    <row r="512" spans="26:45" x14ac:dyDescent="0.25"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</row>
    <row r="513" spans="26:45" x14ac:dyDescent="0.25"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</row>
    <row r="514" spans="26:45" x14ac:dyDescent="0.25"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</row>
    <row r="515" spans="26:45" x14ac:dyDescent="0.25"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</row>
    <row r="516" spans="26:45" x14ac:dyDescent="0.25"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</row>
    <row r="517" spans="26:45" x14ac:dyDescent="0.25"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</row>
    <row r="518" spans="26:45" x14ac:dyDescent="0.25"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</row>
    <row r="519" spans="26:45" x14ac:dyDescent="0.25"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</row>
    <row r="520" spans="26:45" x14ac:dyDescent="0.25"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</row>
    <row r="521" spans="26:45" x14ac:dyDescent="0.25"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</row>
    <row r="522" spans="26:45" x14ac:dyDescent="0.25"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</row>
    <row r="523" spans="26:45" x14ac:dyDescent="0.25"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</row>
    <row r="524" spans="26:45" x14ac:dyDescent="0.25"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</row>
    <row r="525" spans="26:45" x14ac:dyDescent="0.25"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</row>
    <row r="526" spans="26:45" x14ac:dyDescent="0.25"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</row>
    <row r="527" spans="26:45" x14ac:dyDescent="0.25"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</row>
    <row r="528" spans="26:45" x14ac:dyDescent="0.25"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</row>
    <row r="529" spans="26:45" x14ac:dyDescent="0.25"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</row>
    <row r="530" spans="26:45" x14ac:dyDescent="0.25"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</row>
    <row r="531" spans="26:45" x14ac:dyDescent="0.25"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</row>
    <row r="532" spans="26:45" x14ac:dyDescent="0.25"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</row>
    <row r="533" spans="26:45" x14ac:dyDescent="0.25"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</row>
    <row r="534" spans="26:45" x14ac:dyDescent="0.25"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</row>
    <row r="535" spans="26:45" x14ac:dyDescent="0.25"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</row>
    <row r="536" spans="26:45" x14ac:dyDescent="0.25"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</row>
    <row r="537" spans="26:45" x14ac:dyDescent="0.25"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</row>
    <row r="538" spans="26:45" x14ac:dyDescent="0.25"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</row>
    <row r="539" spans="26:45" x14ac:dyDescent="0.25"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</row>
    <row r="540" spans="26:45" x14ac:dyDescent="0.25"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</row>
    <row r="541" spans="26:45" x14ac:dyDescent="0.25"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</row>
    <row r="542" spans="26:45" x14ac:dyDescent="0.25"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</row>
    <row r="543" spans="26:45" x14ac:dyDescent="0.25"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</row>
    <row r="544" spans="26:45" x14ac:dyDescent="0.25"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</row>
    <row r="545" spans="26:45" x14ac:dyDescent="0.25"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</row>
    <row r="546" spans="26:45" x14ac:dyDescent="0.25"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</row>
    <row r="547" spans="26:45" x14ac:dyDescent="0.25"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</row>
    <row r="548" spans="26:45" x14ac:dyDescent="0.25"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</row>
    <row r="549" spans="26:45" x14ac:dyDescent="0.25"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</row>
    <row r="550" spans="26:45" x14ac:dyDescent="0.25"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</row>
    <row r="551" spans="26:45" x14ac:dyDescent="0.25"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</row>
    <row r="552" spans="26:45" x14ac:dyDescent="0.25"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</row>
    <row r="553" spans="26:45" x14ac:dyDescent="0.25"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</row>
    <row r="554" spans="26:45" x14ac:dyDescent="0.25"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</row>
    <row r="555" spans="26:45" x14ac:dyDescent="0.25"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</row>
    <row r="556" spans="26:45" x14ac:dyDescent="0.25"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</row>
    <row r="557" spans="26:45" x14ac:dyDescent="0.25"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</row>
    <row r="558" spans="26:45" x14ac:dyDescent="0.25"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</row>
    <row r="559" spans="26:45" x14ac:dyDescent="0.25"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</row>
    <row r="560" spans="26:45" x14ac:dyDescent="0.25"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</row>
    <row r="561" spans="26:45" x14ac:dyDescent="0.25"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</row>
    <row r="562" spans="26:45" x14ac:dyDescent="0.25"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</row>
    <row r="563" spans="26:45" x14ac:dyDescent="0.25"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</row>
    <row r="564" spans="26:45" x14ac:dyDescent="0.25"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</row>
    <row r="565" spans="26:45" x14ac:dyDescent="0.25"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</row>
    <row r="566" spans="26:45" x14ac:dyDescent="0.25"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</row>
    <row r="567" spans="26:45" x14ac:dyDescent="0.25"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</row>
    <row r="568" spans="26:45" x14ac:dyDescent="0.25"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</row>
    <row r="569" spans="26:45" x14ac:dyDescent="0.25"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</row>
    <row r="570" spans="26:45" x14ac:dyDescent="0.25"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</row>
    <row r="571" spans="26:45" x14ac:dyDescent="0.25"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</row>
    <row r="572" spans="26:45" x14ac:dyDescent="0.25"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</row>
    <row r="573" spans="26:45" x14ac:dyDescent="0.25"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</row>
    <row r="574" spans="26:45" x14ac:dyDescent="0.25"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</row>
    <row r="575" spans="26:45" x14ac:dyDescent="0.25"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</row>
    <row r="576" spans="26:45" x14ac:dyDescent="0.25"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</row>
    <row r="577" spans="26:45" x14ac:dyDescent="0.25"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</row>
    <row r="578" spans="26:45" x14ac:dyDescent="0.25"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</row>
    <row r="579" spans="26:45" x14ac:dyDescent="0.25"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</row>
    <row r="580" spans="26:45" x14ac:dyDescent="0.25"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</row>
    <row r="581" spans="26:45" x14ac:dyDescent="0.25"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</row>
    <row r="582" spans="26:45" x14ac:dyDescent="0.25"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</row>
    <row r="583" spans="26:45" x14ac:dyDescent="0.25"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</row>
    <row r="584" spans="26:45" x14ac:dyDescent="0.25"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</row>
    <row r="585" spans="26:45" x14ac:dyDescent="0.25"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</row>
    <row r="586" spans="26:45" x14ac:dyDescent="0.25"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</row>
    <row r="587" spans="26:45" x14ac:dyDescent="0.25"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</row>
    <row r="588" spans="26:45" x14ac:dyDescent="0.25"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</row>
    <row r="589" spans="26:45" x14ac:dyDescent="0.25"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</row>
    <row r="590" spans="26:45" x14ac:dyDescent="0.25"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</row>
    <row r="591" spans="26:45" x14ac:dyDescent="0.25"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</row>
    <row r="592" spans="26:45" x14ac:dyDescent="0.25"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</row>
    <row r="593" spans="26:45" x14ac:dyDescent="0.25"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</row>
    <row r="594" spans="26:45" x14ac:dyDescent="0.25"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</row>
    <row r="595" spans="26:45" x14ac:dyDescent="0.25"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</row>
    <row r="596" spans="26:45" x14ac:dyDescent="0.25"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</row>
    <row r="597" spans="26:45" x14ac:dyDescent="0.25"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</row>
    <row r="598" spans="26:45" x14ac:dyDescent="0.25"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</row>
    <row r="599" spans="26:45" x14ac:dyDescent="0.25"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</row>
    <row r="600" spans="26:45" x14ac:dyDescent="0.25"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</row>
    <row r="601" spans="26:45" x14ac:dyDescent="0.25"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</row>
    <row r="602" spans="26:45" x14ac:dyDescent="0.25"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</row>
    <row r="603" spans="26:45" x14ac:dyDescent="0.25"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</row>
    <row r="604" spans="26:45" x14ac:dyDescent="0.25"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</row>
    <row r="605" spans="26:45" x14ac:dyDescent="0.25"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</row>
    <row r="606" spans="26:45" x14ac:dyDescent="0.25"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</row>
    <row r="607" spans="26:45" x14ac:dyDescent="0.25"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</row>
    <row r="608" spans="26:45" x14ac:dyDescent="0.25"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</row>
    <row r="609" spans="26:45" x14ac:dyDescent="0.25"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</row>
    <row r="610" spans="26:45" x14ac:dyDescent="0.25"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</row>
    <row r="611" spans="26:45" x14ac:dyDescent="0.25"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</row>
    <row r="612" spans="26:45" x14ac:dyDescent="0.25"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</row>
    <row r="613" spans="26:45" x14ac:dyDescent="0.25"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</row>
    <row r="614" spans="26:45" x14ac:dyDescent="0.25"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</row>
    <row r="615" spans="26:45" x14ac:dyDescent="0.25"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</row>
    <row r="616" spans="26:45" x14ac:dyDescent="0.25"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</row>
    <row r="617" spans="26:45" x14ac:dyDescent="0.25"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</row>
    <row r="618" spans="26:45" x14ac:dyDescent="0.25"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</row>
    <row r="619" spans="26:45" x14ac:dyDescent="0.25"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</row>
    <row r="620" spans="26:45" x14ac:dyDescent="0.25"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</row>
    <row r="621" spans="26:45" x14ac:dyDescent="0.25"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</row>
    <row r="622" spans="26:45" x14ac:dyDescent="0.25"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</row>
    <row r="623" spans="26:45" x14ac:dyDescent="0.25"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</row>
    <row r="624" spans="26:45" x14ac:dyDescent="0.25"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</row>
    <row r="625" spans="26:45" x14ac:dyDescent="0.25"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</row>
    <row r="626" spans="26:45" x14ac:dyDescent="0.25"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</row>
    <row r="627" spans="26:45" x14ac:dyDescent="0.25"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</row>
    <row r="628" spans="26:45" x14ac:dyDescent="0.25"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</row>
    <row r="629" spans="26:45" x14ac:dyDescent="0.25"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</row>
    <row r="630" spans="26:45" x14ac:dyDescent="0.25"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</row>
    <row r="631" spans="26:45" x14ac:dyDescent="0.25"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</row>
    <row r="632" spans="26:45" x14ac:dyDescent="0.25"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</row>
    <row r="633" spans="26:45" x14ac:dyDescent="0.25"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</row>
    <row r="634" spans="26:45" x14ac:dyDescent="0.25"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</row>
    <row r="635" spans="26:45" x14ac:dyDescent="0.25"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</row>
    <row r="636" spans="26:45" x14ac:dyDescent="0.25"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</row>
  </sheetData>
  <sheetProtection algorithmName="SHA-512" hashValue="RUXF0ZAQvAphRE9uNLDvmuHkY772Ilw5UtXkHLs8Uu5PMp5xveAV/u86PXh0lzTy0l1DFizg6tx4AWvZT/UIIQ==" saltValue="gyC1RcKYyk/W/+Lnc6t2AA==" spinCount="100000" sheet="1" objects="1" scenarios="1"/>
  <protectedRanges>
    <protectedRange sqref="G4:M5 T8:T9 D7:E17 N8:Q8" name="Plage1"/>
  </protectedRanges>
  <mergeCells count="7">
    <mergeCell ref="F2:H2"/>
    <mergeCell ref="N7:Q7"/>
    <mergeCell ref="Z10:AA10"/>
    <mergeCell ref="E38:H38"/>
    <mergeCell ref="I38:O38"/>
    <mergeCell ref="G7:J7"/>
    <mergeCell ref="K7:M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K36"/>
  <sheetViews>
    <sheetView workbookViewId="0">
      <selection activeCell="C4" sqref="C4"/>
    </sheetView>
  </sheetViews>
  <sheetFormatPr baseColWidth="10" defaultColWidth="10.42578125" defaultRowHeight="12" x14ac:dyDescent="0.2"/>
  <cols>
    <col min="1" max="1" width="7.42578125" style="14" customWidth="1"/>
    <col min="2" max="2" width="24.42578125" style="14" customWidth="1"/>
    <col min="3" max="7" width="12.7109375" style="14" bestFit="1" customWidth="1"/>
    <col min="8" max="16384" width="10.42578125" style="14"/>
  </cols>
  <sheetData>
    <row r="1" spans="1:11" s="13" customFormat="1" ht="13.5" thickBot="1" x14ac:dyDescent="0.25">
      <c r="B1" s="3" t="s">
        <v>33</v>
      </c>
    </row>
    <row r="2" spans="1:11" ht="12.75" thickBot="1" x14ac:dyDescent="0.25">
      <c r="B2" s="14" t="s">
        <v>34</v>
      </c>
      <c r="C2" s="15" t="e">
        <f>#REF!</f>
        <v>#REF!</v>
      </c>
      <c r="E2" s="14">
        <v>20</v>
      </c>
      <c r="F2" s="14">
        <v>100</v>
      </c>
    </row>
    <row r="3" spans="1:11" ht="15.75" thickBot="1" x14ac:dyDescent="0.3">
      <c r="B3" s="14" t="s">
        <v>35</v>
      </c>
      <c r="C3" s="16" t="e">
        <f>#REF!</f>
        <v>#REF!</v>
      </c>
      <c r="E3" s="14">
        <v>0.01</v>
      </c>
      <c r="F3" s="14">
        <f>E3*F2/E2</f>
        <v>0.05</v>
      </c>
    </row>
    <row r="5" spans="1:11" x14ac:dyDescent="0.2">
      <c r="B5" s="17" t="s">
        <v>36</v>
      </c>
      <c r="C5" s="17" t="s">
        <v>21</v>
      </c>
      <c r="D5" s="17" t="s">
        <v>29</v>
      </c>
      <c r="E5" s="17" t="s">
        <v>30</v>
      </c>
      <c r="F5" s="17" t="s">
        <v>31</v>
      </c>
      <c r="G5" s="17" t="s">
        <v>32</v>
      </c>
    </row>
    <row r="6" spans="1:11" s="18" customFormat="1" x14ac:dyDescent="0.2">
      <c r="A6" s="18">
        <v>2</v>
      </c>
      <c r="B6" s="32" t="s">
        <v>45</v>
      </c>
      <c r="C6" s="19">
        <f>'80%'!B2</f>
        <v>80</v>
      </c>
      <c r="D6" s="19">
        <f>'90%'!B2</f>
        <v>90</v>
      </c>
      <c r="E6" s="19">
        <f>'100%'!B2</f>
        <v>100</v>
      </c>
      <c r="F6" s="34">
        <f>'110%'!B2</f>
        <v>110</v>
      </c>
      <c r="G6" s="19">
        <f>'120%'!B2</f>
        <v>120</v>
      </c>
    </row>
    <row r="7" spans="1:11" x14ac:dyDescent="0.2">
      <c r="A7" s="14">
        <v>30</v>
      </c>
      <c r="B7" s="33" t="s">
        <v>46</v>
      </c>
      <c r="C7" s="20" t="e">
        <f>'80%'!B22</f>
        <v>#REF!</v>
      </c>
      <c r="D7" s="20" t="e">
        <f>'90%'!B22</f>
        <v>#REF!</v>
      </c>
      <c r="E7" s="20" t="e">
        <f>'100%'!B22</f>
        <v>#REF!</v>
      </c>
      <c r="F7" s="20" t="e">
        <f>'110%'!B22</f>
        <v>#REF!</v>
      </c>
      <c r="G7" s="20" t="e">
        <f>'120%'!B22</f>
        <v>#REF!</v>
      </c>
      <c r="K7" s="21" t="str">
        <f>ADDRESS($A8,2,,,C$5)</f>
        <v>'Niveau A'!$B$31</v>
      </c>
    </row>
    <row r="8" spans="1:11" x14ac:dyDescent="0.2">
      <c r="A8" s="14">
        <v>31</v>
      </c>
      <c r="B8" s="33" t="s">
        <v>47</v>
      </c>
      <c r="C8" s="20" t="e">
        <f>'80%'!B23</f>
        <v>#DIV/0!</v>
      </c>
      <c r="D8" s="20" t="e">
        <f>'90%'!B23</f>
        <v>#DIV/0!</v>
      </c>
      <c r="E8" s="20" t="e">
        <f>'100%'!B23</f>
        <v>#DIV/0!</v>
      </c>
      <c r="F8" s="20" t="e">
        <f>'110%'!B23</f>
        <v>#DIV/0!</v>
      </c>
      <c r="G8" s="20" t="e">
        <f>'120%'!B23</f>
        <v>#DIV/0!</v>
      </c>
    </row>
    <row r="9" spans="1:11" x14ac:dyDescent="0.2">
      <c r="A9" s="14">
        <v>32</v>
      </c>
      <c r="B9" s="33" t="s">
        <v>48</v>
      </c>
      <c r="C9" s="20" t="e">
        <f>'80%'!B24</f>
        <v>#REF!</v>
      </c>
      <c r="D9" s="20" t="e">
        <f>'90%'!B24</f>
        <v>#REF!</v>
      </c>
      <c r="E9" s="20" t="e">
        <f>'100%'!B24</f>
        <v>#REF!</v>
      </c>
      <c r="F9" s="20" t="e">
        <f>'110%'!B24</f>
        <v>#REF!</v>
      </c>
      <c r="G9" s="20" t="e">
        <f>'120%'!B24</f>
        <v>#REF!</v>
      </c>
      <c r="H9" s="2"/>
    </row>
    <row r="10" spans="1:11" x14ac:dyDescent="0.2">
      <c r="A10" s="14">
        <v>33</v>
      </c>
      <c r="B10" s="33" t="s">
        <v>49</v>
      </c>
      <c r="C10" s="20" t="e">
        <f>'80%'!B25</f>
        <v>#DIV/0!</v>
      </c>
      <c r="D10" s="20" t="e">
        <f>'90%'!B25</f>
        <v>#DIV/0!</v>
      </c>
      <c r="E10" s="20" t="e">
        <f>'100%'!B25</f>
        <v>#DIV/0!</v>
      </c>
      <c r="F10" s="20" t="e">
        <f>'110%'!B25</f>
        <v>#DIV/0!</v>
      </c>
      <c r="G10" s="20" t="e">
        <f>'120%'!B25</f>
        <v>#DIV/0!</v>
      </c>
    </row>
    <row r="11" spans="1:11" x14ac:dyDescent="0.2">
      <c r="A11" s="14">
        <v>37</v>
      </c>
      <c r="B11" s="33" t="s">
        <v>50</v>
      </c>
      <c r="C11" s="20" t="e">
        <f>'80%'!B29</f>
        <v>#REF!</v>
      </c>
      <c r="D11" s="20" t="e">
        <f>'90%'!B29</f>
        <v>#REF!</v>
      </c>
      <c r="E11" s="20" t="e">
        <f>'100%'!B29</f>
        <v>#REF!</v>
      </c>
      <c r="F11" s="20" t="e">
        <f>'110%'!B29</f>
        <v>#REF!</v>
      </c>
      <c r="G11" s="20" t="e">
        <f>'120%'!B29</f>
        <v>#REF!</v>
      </c>
    </row>
    <row r="12" spans="1:11" x14ac:dyDescent="0.2">
      <c r="A12" s="14">
        <v>39</v>
      </c>
      <c r="B12" s="33" t="s">
        <v>51</v>
      </c>
      <c r="C12" s="20" t="e">
        <f>'80%'!B31</f>
        <v>#REF!</v>
      </c>
      <c r="D12" s="20" t="e">
        <f>'90%'!B31</f>
        <v>#REF!</v>
      </c>
      <c r="E12" s="20" t="e">
        <f>'100%'!B31</f>
        <v>#REF!</v>
      </c>
      <c r="F12" s="20" t="e">
        <f>'110%'!B31</f>
        <v>#REF!</v>
      </c>
      <c r="G12" s="20" t="e">
        <f>'120%'!B31</f>
        <v>#REF!</v>
      </c>
    </row>
    <row r="13" spans="1:11" x14ac:dyDescent="0.2">
      <c r="A13" s="14">
        <v>40</v>
      </c>
      <c r="B13" s="33" t="s">
        <v>52</v>
      </c>
      <c r="C13" s="20" t="e">
        <f>'80%'!B32</f>
        <v>#REF!</v>
      </c>
      <c r="D13" s="20" t="e">
        <f>'90%'!B32</f>
        <v>#REF!</v>
      </c>
      <c r="E13" s="20" t="e">
        <f>'100%'!B32</f>
        <v>#REF!</v>
      </c>
      <c r="F13" s="20" t="e">
        <f>'110%'!B32</f>
        <v>#REF!</v>
      </c>
      <c r="G13" s="20" t="e">
        <f>'120%'!B32</f>
        <v>#REF!</v>
      </c>
    </row>
    <row r="14" spans="1:11" x14ac:dyDescent="0.2">
      <c r="A14" s="14">
        <v>47</v>
      </c>
      <c r="B14" s="33" t="s">
        <v>53</v>
      </c>
      <c r="C14" s="20" t="e">
        <f>'80%'!B39</f>
        <v>#REF!</v>
      </c>
      <c r="D14" s="20" t="e">
        <f>'90%'!B39</f>
        <v>#REF!</v>
      </c>
      <c r="E14" s="20" t="e">
        <f>'100%'!B39</f>
        <v>#REF!</v>
      </c>
      <c r="F14" s="20" t="e">
        <f>'110%'!B39</f>
        <v>#REF!</v>
      </c>
      <c r="G14" s="20" t="e">
        <f>'120%'!B39</f>
        <v>#REF!</v>
      </c>
    </row>
    <row r="15" spans="1:11" x14ac:dyDescent="0.2">
      <c r="A15" s="14">
        <v>48</v>
      </c>
      <c r="B15" s="33" t="s">
        <v>54</v>
      </c>
      <c r="C15" s="20" t="e">
        <f>'80%'!B40</f>
        <v>#REF!</v>
      </c>
      <c r="D15" s="20" t="e">
        <f>'90%'!B40</f>
        <v>#REF!</v>
      </c>
      <c r="E15" s="20" t="e">
        <f>'100%'!B40</f>
        <v>#REF!</v>
      </c>
      <c r="F15" s="20" t="e">
        <f>'110%'!B40</f>
        <v>#REF!</v>
      </c>
      <c r="G15" s="20" t="e">
        <f>'120%'!B40</f>
        <v>#REF!</v>
      </c>
    </row>
    <row r="16" spans="1:11" x14ac:dyDescent="0.2">
      <c r="A16" s="14">
        <v>35</v>
      </c>
      <c r="B16" s="33" t="s">
        <v>55</v>
      </c>
      <c r="C16" s="22" t="e">
        <f>'80%'!B27</f>
        <v>#REF!</v>
      </c>
      <c r="D16" s="22" t="e">
        <f>'90%'!B27</f>
        <v>#REF!</v>
      </c>
      <c r="E16" s="22" t="e">
        <f>'100%'!B27</f>
        <v>#REF!</v>
      </c>
      <c r="F16" s="22" t="e">
        <f>'110%'!B27</f>
        <v>#REF!</v>
      </c>
      <c r="G16" s="22" t="e">
        <f>'120%'!B27</f>
        <v>#REF!</v>
      </c>
    </row>
    <row r="17" spans="2:7" s="18" customFormat="1" x14ac:dyDescent="0.2">
      <c r="B17" s="19" t="s">
        <v>37</v>
      </c>
      <c r="C17" s="23" t="e">
        <f>C7/C$6</f>
        <v>#REF!</v>
      </c>
      <c r="D17" s="23" t="e">
        <f t="shared" ref="D17:G17" si="0">D7/D$6</f>
        <v>#REF!</v>
      </c>
      <c r="E17" s="23" t="e">
        <f t="shared" si="0"/>
        <v>#REF!</v>
      </c>
      <c r="F17" s="23" t="e">
        <f t="shared" si="0"/>
        <v>#REF!</v>
      </c>
      <c r="G17" s="23" t="e">
        <f t="shared" si="0"/>
        <v>#REF!</v>
      </c>
    </row>
    <row r="18" spans="2:7" s="18" customFormat="1" x14ac:dyDescent="0.2">
      <c r="B18" s="19" t="s">
        <v>38</v>
      </c>
      <c r="C18" s="23" t="e">
        <f>C14/C$6</f>
        <v>#REF!</v>
      </c>
      <c r="D18" s="23" t="e">
        <f>D14/D$6</f>
        <v>#REF!</v>
      </c>
      <c r="E18" s="23" t="e">
        <f t="shared" ref="E18:G19" si="1">E14/E$6</f>
        <v>#REF!</v>
      </c>
      <c r="F18" s="23" t="e">
        <f t="shared" si="1"/>
        <v>#REF!</v>
      </c>
      <c r="G18" s="23" t="e">
        <f t="shared" si="1"/>
        <v>#REF!</v>
      </c>
    </row>
    <row r="19" spans="2:7" s="18" customFormat="1" x14ac:dyDescent="0.2">
      <c r="B19" s="19" t="s">
        <v>39</v>
      </c>
      <c r="C19" s="23" t="e">
        <f>C15/C$6</f>
        <v>#REF!</v>
      </c>
      <c r="D19" s="23" t="e">
        <f>D15/D$6</f>
        <v>#REF!</v>
      </c>
      <c r="E19" s="23" t="e">
        <f t="shared" si="1"/>
        <v>#REF!</v>
      </c>
      <c r="F19" s="23" t="e">
        <f t="shared" si="1"/>
        <v>#REF!</v>
      </c>
      <c r="G19" s="23" t="e">
        <f t="shared" si="1"/>
        <v>#REF!</v>
      </c>
    </row>
    <row r="20" spans="2:7" s="18" customFormat="1" x14ac:dyDescent="0.2">
      <c r="B20" s="19" t="s">
        <v>40</v>
      </c>
      <c r="C20" s="24" t="e">
        <f>1-$C$3</f>
        <v>#REF!</v>
      </c>
      <c r="D20" s="24" t="e">
        <f t="shared" ref="D20:G20" si="2">1-$C$3</f>
        <v>#REF!</v>
      </c>
      <c r="E20" s="24" t="e">
        <f t="shared" si="2"/>
        <v>#REF!</v>
      </c>
      <c r="F20" s="24" t="e">
        <f t="shared" si="2"/>
        <v>#REF!</v>
      </c>
      <c r="G20" s="24" t="e">
        <f t="shared" si="2"/>
        <v>#REF!</v>
      </c>
    </row>
    <row r="21" spans="2:7" s="18" customFormat="1" x14ac:dyDescent="0.2">
      <c r="B21" s="19" t="s">
        <v>41</v>
      </c>
      <c r="C21" s="24" t="e">
        <f t="shared" ref="C21:G21" si="3">1+$C$3</f>
        <v>#REF!</v>
      </c>
      <c r="D21" s="24" t="e">
        <f t="shared" si="3"/>
        <v>#REF!</v>
      </c>
      <c r="E21" s="24" t="e">
        <f t="shared" si="3"/>
        <v>#REF!</v>
      </c>
      <c r="F21" s="24" t="e">
        <f t="shared" si="3"/>
        <v>#REF!</v>
      </c>
      <c r="G21" s="24" t="e">
        <f t="shared" si="3"/>
        <v>#REF!</v>
      </c>
    </row>
    <row r="22" spans="2:7" s="18" customFormat="1" x14ac:dyDescent="0.2">
      <c r="B22" s="25"/>
      <c r="C22" s="26"/>
      <c r="D22" s="26"/>
      <c r="E22" s="26"/>
      <c r="F22" s="26"/>
      <c r="G22" s="26"/>
    </row>
    <row r="23" spans="2:7" s="18" customFormat="1" x14ac:dyDescent="0.2">
      <c r="B23" s="25"/>
      <c r="C23" s="26"/>
      <c r="D23" s="26"/>
      <c r="E23" s="26"/>
      <c r="F23" s="26"/>
      <c r="G23" s="26"/>
    </row>
    <row r="24" spans="2:7" s="18" customFormat="1" x14ac:dyDescent="0.2">
      <c r="B24" s="25"/>
      <c r="C24" s="26"/>
      <c r="D24" s="26"/>
      <c r="E24" s="26"/>
      <c r="F24" s="26"/>
      <c r="G24" s="26"/>
    </row>
    <row r="25" spans="2:7" s="18" customFormat="1" x14ac:dyDescent="0.2">
      <c r="B25" s="25"/>
      <c r="C25" s="26"/>
      <c r="D25" s="26"/>
      <c r="E25" s="26"/>
      <c r="F25" s="26"/>
      <c r="G25" s="26"/>
    </row>
    <row r="26" spans="2:7" s="18" customFormat="1" x14ac:dyDescent="0.2">
      <c r="B26" s="25"/>
      <c r="C26" s="26"/>
      <c r="D26" s="26"/>
      <c r="E26" s="26"/>
      <c r="F26" s="26"/>
      <c r="G26" s="26"/>
    </row>
    <row r="27" spans="2:7" s="13" customFormat="1" x14ac:dyDescent="0.2">
      <c r="B27" s="13" t="s">
        <v>42</v>
      </c>
    </row>
    <row r="28" spans="2:7" x14ac:dyDescent="0.2">
      <c r="B28" s="14" t="s">
        <v>43</v>
      </c>
      <c r="C28" s="27" t="e">
        <f t="shared" ref="C28:G28" si="4">C$12*C$10</f>
        <v>#REF!</v>
      </c>
      <c r="D28" s="27" t="e">
        <f t="shared" si="4"/>
        <v>#REF!</v>
      </c>
      <c r="E28" s="27" t="e">
        <f t="shared" si="4"/>
        <v>#REF!</v>
      </c>
      <c r="F28" s="27" t="e">
        <f t="shared" si="4"/>
        <v>#REF!</v>
      </c>
      <c r="G28" s="27" t="e">
        <f t="shared" si="4"/>
        <v>#REF!</v>
      </c>
    </row>
    <row r="29" spans="2:7" x14ac:dyDescent="0.2">
      <c r="B29" s="14" t="s">
        <v>44</v>
      </c>
      <c r="C29" s="28" t="e">
        <f t="shared" ref="C29:G29" si="5">2*C28/C7</f>
        <v>#REF!</v>
      </c>
      <c r="D29" s="28" t="e">
        <f t="shared" si="5"/>
        <v>#REF!</v>
      </c>
      <c r="E29" s="28" t="e">
        <f t="shared" si="5"/>
        <v>#REF!</v>
      </c>
      <c r="F29" s="28" t="e">
        <f t="shared" si="5"/>
        <v>#REF!</v>
      </c>
      <c r="G29" s="28" t="e">
        <f t="shared" si="5"/>
        <v>#REF!</v>
      </c>
    </row>
    <row r="30" spans="2:7" x14ac:dyDescent="0.2">
      <c r="C30" s="27"/>
      <c r="D30" s="27"/>
      <c r="E30" s="27"/>
      <c r="F30" s="27"/>
      <c r="G30" s="27"/>
    </row>
    <row r="31" spans="2:7" s="29" customFormat="1" x14ac:dyDescent="0.2">
      <c r="F31" s="30"/>
    </row>
    <row r="32" spans="2:7" s="29" customFormat="1" x14ac:dyDescent="0.2">
      <c r="F32" s="30"/>
    </row>
    <row r="33" spans="3:7" s="29" customFormat="1" x14ac:dyDescent="0.2">
      <c r="C33" s="30"/>
      <c r="D33" s="30"/>
      <c r="E33" s="30"/>
      <c r="F33" s="30"/>
      <c r="G33" s="30"/>
    </row>
    <row r="34" spans="3:7" s="29" customFormat="1" x14ac:dyDescent="0.2">
      <c r="C34" s="30"/>
      <c r="D34" s="30"/>
      <c r="E34" s="30"/>
      <c r="F34" s="30"/>
      <c r="G34" s="30"/>
    </row>
    <row r="35" spans="3:7" s="29" customFormat="1" x14ac:dyDescent="0.2">
      <c r="C35" s="31"/>
      <c r="D35" s="31"/>
      <c r="E35" s="31"/>
      <c r="F35" s="31"/>
      <c r="G35" s="31"/>
    </row>
    <row r="36" spans="3:7" s="29" customFormat="1" x14ac:dyDescent="0.2">
      <c r="C36" s="31"/>
      <c r="D36" s="31"/>
      <c r="E36" s="31"/>
      <c r="F36" s="31"/>
      <c r="G36" s="31"/>
    </row>
  </sheetData>
  <sheetProtection pivotTables="0"/>
  <pageMargins left="0.78740157499999996" right="0.78740157499999996" top="0.984251969" bottom="0.984251969" header="0.4921259845" footer="0.4921259845"/>
  <pageSetup paperSize="9" orientation="landscape" verticalDpi="0" r:id="rId1"/>
  <headerFooter alignWithMargins="0">
    <oddFooter>&amp;A&amp;RPage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pageSetUpPr fitToPage="1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7.7109375" style="2" bestFit="1" customWidth="1"/>
    <col min="3" max="3" width="11.5703125" style="2" customWidth="1"/>
    <col min="4" max="4" width="11.140625" style="2" customWidth="1"/>
    <col min="5" max="5" width="12.42578125" style="2" customWidth="1"/>
    <col min="6" max="6" width="10.28515625" style="2" customWidth="1"/>
    <col min="7" max="7" width="3.5703125" style="2" customWidth="1"/>
    <col min="8" max="8" width="6.42578125" style="2" customWidth="1"/>
    <col min="9" max="9" width="15" style="2" bestFit="1" customWidth="1"/>
    <col min="10" max="10" width="10.85546875" style="2" customWidth="1"/>
    <col min="11" max="16384" width="10.85546875" style="2"/>
  </cols>
  <sheetData>
    <row r="1" spans="1:9" ht="12.75" thickBot="1" x14ac:dyDescent="0.25">
      <c r="A1" s="1" t="s">
        <v>21</v>
      </c>
    </row>
    <row r="2" spans="1:9" ht="13.5" thickBot="1" x14ac:dyDescent="0.25">
      <c r="A2" s="3" t="s">
        <v>45</v>
      </c>
      <c r="B2" s="4">
        <v>80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110</v>
      </c>
      <c r="B5" s="35" t="e">
        <f>#REF!*$B$2</f>
        <v>#REF!</v>
      </c>
      <c r="C5" s="35" t="e">
        <f>#REF!*$B$2</f>
        <v>#REF!</v>
      </c>
      <c r="D5" s="35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111</v>
      </c>
      <c r="B6" s="35"/>
      <c r="C6" s="35"/>
      <c r="D6" s="35"/>
      <c r="E6" s="36"/>
      <c r="F6" s="37"/>
      <c r="H6" s="5"/>
      <c r="I6" s="6"/>
    </row>
    <row r="7" spans="1:9" x14ac:dyDescent="0.2">
      <c r="A7" s="2" t="s">
        <v>112</v>
      </c>
      <c r="B7" s="35" t="e">
        <f>#REF!*$B$2</f>
        <v>#REF!</v>
      </c>
      <c r="C7" s="35" t="e">
        <f>#REF!*$B$2</f>
        <v>#REF!</v>
      </c>
      <c r="D7" s="35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113</v>
      </c>
      <c r="B8" s="35" t="e">
        <f>#REF!*$B$2</f>
        <v>#REF!</v>
      </c>
      <c r="C8" s="35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114</v>
      </c>
      <c r="B9" s="35" t="e">
        <f>#REF!*$B$2</f>
        <v>#REF!</v>
      </c>
      <c r="C9" s="35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115</v>
      </c>
      <c r="B11" s="2">
        <f>COUNT(B5:B9)</f>
        <v>0</v>
      </c>
      <c r="C11" s="7"/>
    </row>
    <row r="12" spans="1:9" x14ac:dyDescent="0.2">
      <c r="A12" s="2" t="s">
        <v>116</v>
      </c>
      <c r="B12" s="2">
        <f>COUNT(B5:F9)</f>
        <v>0</v>
      </c>
      <c r="C12" s="7"/>
    </row>
    <row r="13" spans="1:9" x14ac:dyDescent="0.2">
      <c r="A13" s="2" t="s">
        <v>117</v>
      </c>
      <c r="B13" s="2">
        <f>IF(H5*B11&lt;&gt;B12,"Calcul impossible",H5)</f>
        <v>0</v>
      </c>
      <c r="C13" s="7"/>
    </row>
    <row r="14" spans="1:9" x14ac:dyDescent="0.2">
      <c r="A14" s="2" t="s">
        <v>118</v>
      </c>
      <c r="B14" s="8">
        <f>SUM(I5:I9)</f>
        <v>0</v>
      </c>
      <c r="C14" s="7"/>
    </row>
    <row r="15" spans="1:9" x14ac:dyDescent="0.2">
      <c r="A15" s="2" t="s">
        <v>119</v>
      </c>
      <c r="B15" s="8" t="e">
        <f>DEVSQ(B5:F9)</f>
        <v>#REF!</v>
      </c>
      <c r="C15" s="7"/>
    </row>
    <row r="16" spans="1:9" x14ac:dyDescent="0.2">
      <c r="A16" s="2" t="s">
        <v>120</v>
      </c>
      <c r="B16" s="8" t="e">
        <f>B15-B14</f>
        <v>#REF!</v>
      </c>
      <c r="C16" s="7"/>
    </row>
    <row r="17" spans="1:9" x14ac:dyDescent="0.2">
      <c r="A17" s="2" t="s">
        <v>121</v>
      </c>
      <c r="B17" s="8" t="e">
        <f>((B16/(B11-1))-B18)/B13</f>
        <v>#REF!</v>
      </c>
      <c r="C17" s="7"/>
    </row>
    <row r="18" spans="1:9" x14ac:dyDescent="0.2">
      <c r="A18" s="2" t="s">
        <v>122</v>
      </c>
      <c r="B18" s="8" t="e">
        <f>B14/(B12-B11)</f>
        <v>#DIV/0!</v>
      </c>
      <c r="C18" s="7"/>
    </row>
    <row r="19" spans="1:9" x14ac:dyDescent="0.2">
      <c r="A19" s="2" t="s">
        <v>123</v>
      </c>
      <c r="B19" s="8" t="e">
        <f>IF(B17&lt;0,0,B17)</f>
        <v>#REF!</v>
      </c>
      <c r="C19" s="7"/>
    </row>
    <row r="20" spans="1:9" x14ac:dyDescent="0.2">
      <c r="A20" s="2" t="s">
        <v>124</v>
      </c>
      <c r="B20" s="8" t="e">
        <f>SUM(B18:B19)</f>
        <v>#DIV/0!</v>
      </c>
      <c r="C20" s="7"/>
    </row>
    <row r="21" spans="1:9" s="3" customFormat="1" ht="12.75" x14ac:dyDescent="0.2">
      <c r="A21" s="3" t="s">
        <v>125</v>
      </c>
    </row>
    <row r="22" spans="1:9" x14ac:dyDescent="0.2">
      <c r="A22" s="2" t="s">
        <v>46</v>
      </c>
      <c r="B22" s="8" t="e">
        <f>AVERAGE(B5:F9)</f>
        <v>#REF!</v>
      </c>
      <c r="C22" s="7"/>
    </row>
    <row r="23" spans="1:9" ht="12" customHeight="1" x14ac:dyDescent="0.2">
      <c r="A23" s="2" t="s">
        <v>47</v>
      </c>
      <c r="B23" s="8" t="e">
        <f>SQRT(B18)</f>
        <v>#DIV/0!</v>
      </c>
      <c r="C23" s="7"/>
    </row>
    <row r="24" spans="1:9" x14ac:dyDescent="0.2">
      <c r="A24" s="2" t="s">
        <v>48</v>
      </c>
      <c r="B24" s="8" t="e">
        <f>SQRT(B19)</f>
        <v>#REF!</v>
      </c>
      <c r="C24" s="7"/>
    </row>
    <row r="25" spans="1:9" x14ac:dyDescent="0.2">
      <c r="A25" s="2" t="s">
        <v>49</v>
      </c>
      <c r="B25" s="8" t="e">
        <f>SQRT(B20)</f>
        <v>#DIV/0!</v>
      </c>
      <c r="C25" s="7"/>
    </row>
    <row r="26" spans="1:9" s="3" customFormat="1" ht="12.75" x14ac:dyDescent="0.2">
      <c r="A26" s="3" t="s">
        <v>126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127</v>
      </c>
    </row>
    <row r="29" spans="1:9" x14ac:dyDescent="0.2">
      <c r="A29" s="2" t="s">
        <v>50</v>
      </c>
      <c r="B29" s="8" t="e">
        <f>B19/B18</f>
        <v>#REF!</v>
      </c>
      <c r="C29" s="7"/>
    </row>
    <row r="30" spans="1:9" x14ac:dyDescent="0.2">
      <c r="A30" s="2" t="s">
        <v>128</v>
      </c>
      <c r="B30" s="8" t="e">
        <f>(B29+1)/(B13*B29+1)</f>
        <v>#REF!</v>
      </c>
      <c r="C30" s="7"/>
    </row>
    <row r="31" spans="1:9" x14ac:dyDescent="0.2">
      <c r="A31" s="2" t="s">
        <v>51</v>
      </c>
      <c r="B31" s="8" t="e">
        <f>SQRT(1+1/(B12*B30))</f>
        <v>#REF!</v>
      </c>
      <c r="C31" s="7"/>
    </row>
    <row r="32" spans="1:9" x14ac:dyDescent="0.2">
      <c r="A32" s="2" t="s">
        <v>52</v>
      </c>
      <c r="B32" s="8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8" t="e">
        <f>Récapitulatif!C2</f>
        <v>#REF!</v>
      </c>
      <c r="C33" s="7"/>
    </row>
    <row r="34" spans="1:3" x14ac:dyDescent="0.2">
      <c r="A34" s="2" t="s">
        <v>129</v>
      </c>
      <c r="B34" s="8" t="e">
        <f>TINV(1-B33,ROUNDDOWN(B32,0))</f>
        <v>#REF!</v>
      </c>
      <c r="C34" s="7"/>
    </row>
    <row r="35" spans="1:3" x14ac:dyDescent="0.2">
      <c r="A35" s="2" t="s">
        <v>130</v>
      </c>
      <c r="B35" s="8" t="e">
        <f>TINV(1-B33,ROUNDUP(B32,0))</f>
        <v>#REF!</v>
      </c>
      <c r="C35" s="7"/>
    </row>
    <row r="36" spans="1:3" x14ac:dyDescent="0.2">
      <c r="A36" s="2" t="s">
        <v>131</v>
      </c>
      <c r="B36" s="8" t="e">
        <f>B34-(B34-B35)*(B32-ROUNDDOWN(B32,0))</f>
        <v>#REF!</v>
      </c>
      <c r="C36" s="7"/>
    </row>
    <row r="37" spans="1:3" x14ac:dyDescent="0.2">
      <c r="A37" s="2" t="s">
        <v>132</v>
      </c>
      <c r="B37" s="8" t="e">
        <f>B36*B31</f>
        <v>#REF!</v>
      </c>
      <c r="C37" s="7"/>
    </row>
    <row r="38" spans="1:3" s="3" customFormat="1" ht="12.75" x14ac:dyDescent="0.2">
      <c r="A38" s="3" t="s">
        <v>133</v>
      </c>
    </row>
    <row r="39" spans="1:3" x14ac:dyDescent="0.2">
      <c r="A39" s="2" t="s">
        <v>53</v>
      </c>
      <c r="B39" s="8" t="e">
        <f>B22-B37*B25</f>
        <v>#REF!</v>
      </c>
      <c r="C39" s="7"/>
    </row>
    <row r="40" spans="1:3" x14ac:dyDescent="0.2">
      <c r="A40" s="2" t="s">
        <v>54</v>
      </c>
      <c r="B40" s="8" t="e">
        <f>B22+B37*B25</f>
        <v>#REF!</v>
      </c>
      <c r="C40" s="7"/>
    </row>
  </sheetData>
  <sheetProtection pivotTables="0"/>
  <printOptions headings="1" gridLines="1"/>
  <pageMargins left="0.78740157499999996" right="0.78740157499999996" top="0.49" bottom="0.76" header="0.28000000000000003" footer="0.4921259845"/>
  <pageSetup paperSize="9" orientation="landscape" horizontalDpi="300" verticalDpi="300" r:id="rId1"/>
  <headerFooter alignWithMargins="0">
    <oddFooter>&amp;A&amp;RPage &amp;P</oddFooter>
  </headerFooter>
  <rowBreaks count="1" manualBreakCount="1">
    <brk id="4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29</v>
      </c>
    </row>
    <row r="2" spans="1:9" ht="13.5" thickBot="1" x14ac:dyDescent="0.25">
      <c r="A2" s="3" t="s">
        <v>45</v>
      </c>
      <c r="B2" s="11">
        <v>90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110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111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112</v>
      </c>
      <c r="B7" s="36"/>
      <c r="C7" s="36"/>
      <c r="D7" s="36"/>
      <c r="E7" s="36"/>
      <c r="F7" s="37"/>
      <c r="H7" s="5"/>
      <c r="I7" s="6" t="str">
        <f>IF(H7=0,"",DEVSQ(B7:F7))</f>
        <v/>
      </c>
    </row>
    <row r="8" spans="1:9" x14ac:dyDescent="0.2">
      <c r="A8" s="2" t="s">
        <v>113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114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115</v>
      </c>
      <c r="B11" s="2">
        <f>COUNT(B5:B9)</f>
        <v>0</v>
      </c>
      <c r="C11" s="7"/>
    </row>
    <row r="12" spans="1:9" x14ac:dyDescent="0.2">
      <c r="A12" s="2" t="s">
        <v>116</v>
      </c>
      <c r="B12" s="2">
        <f>COUNT(B5:F9)</f>
        <v>0</v>
      </c>
      <c r="C12" s="7"/>
    </row>
    <row r="13" spans="1:9" x14ac:dyDescent="0.2">
      <c r="A13" s="2" t="s">
        <v>117</v>
      </c>
      <c r="B13" s="2">
        <f>IF(H5*B11&lt;&gt;B12,"Calcul impossible",H5)</f>
        <v>0</v>
      </c>
      <c r="C13" s="7"/>
    </row>
    <row r="14" spans="1:9" x14ac:dyDescent="0.2">
      <c r="A14" s="2" t="s">
        <v>118</v>
      </c>
      <c r="B14" s="12">
        <f>SUM(I5:I9)</f>
        <v>0</v>
      </c>
      <c r="C14" s="7"/>
    </row>
    <row r="15" spans="1:9" x14ac:dyDescent="0.2">
      <c r="A15" s="2" t="s">
        <v>119</v>
      </c>
      <c r="B15" s="12" t="e">
        <f>DEVSQ(B5:F9)</f>
        <v>#REF!</v>
      </c>
      <c r="C15" s="7"/>
    </row>
    <row r="16" spans="1:9" x14ac:dyDescent="0.2">
      <c r="A16" s="2" t="s">
        <v>120</v>
      </c>
      <c r="B16" s="12" t="e">
        <f>B15-B14</f>
        <v>#REF!</v>
      </c>
      <c r="C16" s="7"/>
    </row>
    <row r="17" spans="1:9" x14ac:dyDescent="0.2">
      <c r="A17" s="2" t="s">
        <v>121</v>
      </c>
      <c r="B17" s="12" t="e">
        <f>((B16/(B11-1))-B18)/B13</f>
        <v>#REF!</v>
      </c>
      <c r="C17" s="7"/>
    </row>
    <row r="18" spans="1:9" x14ac:dyDescent="0.2">
      <c r="A18" s="2" t="s">
        <v>122</v>
      </c>
      <c r="B18" s="12" t="e">
        <f>B14/(B12-B11)</f>
        <v>#DIV/0!</v>
      </c>
      <c r="C18" s="7"/>
    </row>
    <row r="19" spans="1:9" x14ac:dyDescent="0.2">
      <c r="A19" s="2" t="s">
        <v>123</v>
      </c>
      <c r="B19" s="12" t="e">
        <f>IF(B17&lt;0,0,B17)</f>
        <v>#REF!</v>
      </c>
      <c r="C19" s="7"/>
    </row>
    <row r="20" spans="1:9" x14ac:dyDescent="0.2">
      <c r="A20" s="2" t="s">
        <v>124</v>
      </c>
      <c r="B20" s="12" t="e">
        <f>SUM(B18:B19)</f>
        <v>#DIV/0!</v>
      </c>
      <c r="C20" s="7"/>
    </row>
    <row r="21" spans="1:9" s="3" customFormat="1" ht="12.75" x14ac:dyDescent="0.2">
      <c r="A21" s="3" t="s">
        <v>125</v>
      </c>
    </row>
    <row r="22" spans="1:9" x14ac:dyDescent="0.2">
      <c r="A22" s="2" t="s">
        <v>46</v>
      </c>
      <c r="B22" s="12" t="e">
        <f>AVERAGE(B5:F9)</f>
        <v>#REF!</v>
      </c>
      <c r="C22" s="7"/>
    </row>
    <row r="23" spans="1:9" ht="12" customHeight="1" x14ac:dyDescent="0.2">
      <c r="A23" s="2" t="s">
        <v>47</v>
      </c>
      <c r="B23" s="12" t="e">
        <f>SQRT(B18)</f>
        <v>#DIV/0!</v>
      </c>
      <c r="C23" s="7"/>
    </row>
    <row r="24" spans="1:9" x14ac:dyDescent="0.2">
      <c r="A24" s="2" t="s">
        <v>48</v>
      </c>
      <c r="B24" s="12" t="e">
        <f>SQRT(B19)</f>
        <v>#REF!</v>
      </c>
      <c r="C24" s="7"/>
    </row>
    <row r="25" spans="1:9" x14ac:dyDescent="0.2">
      <c r="A25" s="2" t="s">
        <v>49</v>
      </c>
      <c r="B25" s="12" t="e">
        <f>SQRT(B20)</f>
        <v>#DIV/0!</v>
      </c>
      <c r="C25" s="7"/>
    </row>
    <row r="26" spans="1:9" s="3" customFormat="1" ht="12.75" x14ac:dyDescent="0.2">
      <c r="A26" s="3" t="s">
        <v>126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127</v>
      </c>
    </row>
    <row r="29" spans="1:9" x14ac:dyDescent="0.2">
      <c r="A29" s="2" t="s">
        <v>50</v>
      </c>
      <c r="B29" s="6" t="e">
        <f>B19/B18</f>
        <v>#REF!</v>
      </c>
      <c r="C29" s="7"/>
    </row>
    <row r="30" spans="1:9" x14ac:dyDescent="0.2">
      <c r="A30" s="2" t="s">
        <v>128</v>
      </c>
      <c r="B30" s="6" t="e">
        <f>(B29+1)/(B13*B29+1)</f>
        <v>#REF!</v>
      </c>
      <c r="C30" s="7"/>
    </row>
    <row r="31" spans="1:9" x14ac:dyDescent="0.2">
      <c r="A31" s="2" t="s">
        <v>51</v>
      </c>
      <c r="B31" s="6" t="e">
        <f>SQRT(1+1/(B12*B30))</f>
        <v>#REF!</v>
      </c>
      <c r="C31" s="7"/>
    </row>
    <row r="32" spans="1:9" x14ac:dyDescent="0.2">
      <c r="A32" s="2" t="s">
        <v>52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6" t="e">
        <f>Récapitulatif!C2</f>
        <v>#REF!</v>
      </c>
      <c r="C33" s="7"/>
    </row>
    <row r="34" spans="1:3" x14ac:dyDescent="0.2">
      <c r="A34" s="2" t="s">
        <v>129</v>
      </c>
      <c r="B34" s="6" t="e">
        <f>TINV(1-B33,ROUNDDOWN(B32,0))</f>
        <v>#REF!</v>
      </c>
      <c r="C34" s="7"/>
    </row>
    <row r="35" spans="1:3" x14ac:dyDescent="0.2">
      <c r="A35" s="2" t="s">
        <v>130</v>
      </c>
      <c r="B35" s="6" t="e">
        <f>TINV(1-B33,ROUNDUP(B32,0))</f>
        <v>#REF!</v>
      </c>
      <c r="C35" s="7"/>
    </row>
    <row r="36" spans="1:3" x14ac:dyDescent="0.2">
      <c r="A36" s="2" t="s">
        <v>131</v>
      </c>
      <c r="B36" s="6" t="e">
        <f>B34-(B34-B35)*(B32-ROUNDDOWN(B32,0))</f>
        <v>#REF!</v>
      </c>
      <c r="C36" s="7"/>
    </row>
    <row r="37" spans="1:3" x14ac:dyDescent="0.2">
      <c r="A37" s="2" t="s">
        <v>132</v>
      </c>
      <c r="B37" s="6" t="e">
        <f>B36*B31</f>
        <v>#REF!</v>
      </c>
      <c r="C37" s="7"/>
    </row>
    <row r="38" spans="1:3" s="3" customFormat="1" ht="12.75" x14ac:dyDescent="0.2">
      <c r="A38" s="3" t="s">
        <v>133</v>
      </c>
    </row>
    <row r="39" spans="1:3" x14ac:dyDescent="0.2">
      <c r="A39" s="2" t="s">
        <v>53</v>
      </c>
      <c r="B39" s="6" t="e">
        <f>B22-B37*B25</f>
        <v>#REF!</v>
      </c>
      <c r="C39" s="7"/>
    </row>
    <row r="40" spans="1:3" x14ac:dyDescent="0.2">
      <c r="A40" s="2" t="s">
        <v>54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4" bottom="0.56999999999999995" header="0.32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30</v>
      </c>
    </row>
    <row r="2" spans="1:9" ht="13.5" thickBot="1" x14ac:dyDescent="0.25">
      <c r="A2" s="3" t="s">
        <v>45</v>
      </c>
      <c r="B2" s="4">
        <v>100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110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111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112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113</v>
      </c>
      <c r="B8" s="36"/>
      <c r="C8" s="36"/>
      <c r="D8" s="36"/>
      <c r="E8" s="36"/>
      <c r="F8" s="37"/>
      <c r="H8" s="5"/>
      <c r="I8" s="6" t="str">
        <f>IF(H8=0,"",DEVSQ(B8:F8))</f>
        <v/>
      </c>
    </row>
    <row r="9" spans="1:9" x14ac:dyDescent="0.2">
      <c r="A9" s="2" t="s">
        <v>114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115</v>
      </c>
      <c r="B11" s="2">
        <f>COUNT(B5:B9)</f>
        <v>0</v>
      </c>
      <c r="C11" s="7"/>
    </row>
    <row r="12" spans="1:9" x14ac:dyDescent="0.2">
      <c r="A12" s="2" t="s">
        <v>116</v>
      </c>
      <c r="B12" s="2">
        <f>COUNT(B5:F9)</f>
        <v>0</v>
      </c>
      <c r="C12" s="7"/>
    </row>
    <row r="13" spans="1:9" x14ac:dyDescent="0.2">
      <c r="A13" s="2" t="s">
        <v>117</v>
      </c>
      <c r="B13" s="2">
        <f>IF(H5*B11&lt;&gt;B12,"Calcul impossible",H5)</f>
        <v>0</v>
      </c>
      <c r="C13" s="7"/>
    </row>
    <row r="14" spans="1:9" x14ac:dyDescent="0.2">
      <c r="A14" s="2" t="s">
        <v>118</v>
      </c>
      <c r="B14" s="12">
        <f>SUM(I5:I9)</f>
        <v>0</v>
      </c>
      <c r="C14" s="7"/>
    </row>
    <row r="15" spans="1:9" x14ac:dyDescent="0.2">
      <c r="A15" s="2" t="s">
        <v>119</v>
      </c>
      <c r="B15" s="12" t="e">
        <f>DEVSQ(B5:F9)</f>
        <v>#REF!</v>
      </c>
      <c r="C15" s="7"/>
    </row>
    <row r="16" spans="1:9" x14ac:dyDescent="0.2">
      <c r="A16" s="2" t="s">
        <v>120</v>
      </c>
      <c r="B16" s="12" t="e">
        <f>B15-B14</f>
        <v>#REF!</v>
      </c>
      <c r="C16" s="7"/>
    </row>
    <row r="17" spans="1:9" x14ac:dyDescent="0.2">
      <c r="A17" s="2" t="s">
        <v>121</v>
      </c>
      <c r="B17" s="12" t="e">
        <f>((B16/(B11-1))-B18)/B13</f>
        <v>#REF!</v>
      </c>
      <c r="C17" s="7"/>
    </row>
    <row r="18" spans="1:9" x14ac:dyDescent="0.2">
      <c r="A18" s="2" t="s">
        <v>122</v>
      </c>
      <c r="B18" s="12" t="e">
        <f>B14/(B12-B11)</f>
        <v>#DIV/0!</v>
      </c>
      <c r="C18" s="7"/>
    </row>
    <row r="19" spans="1:9" x14ac:dyDescent="0.2">
      <c r="A19" s="2" t="s">
        <v>123</v>
      </c>
      <c r="B19" s="12" t="e">
        <f>IF(B17&lt;0,0,B17)</f>
        <v>#REF!</v>
      </c>
      <c r="C19" s="7"/>
    </row>
    <row r="20" spans="1:9" x14ac:dyDescent="0.2">
      <c r="A20" s="2" t="s">
        <v>124</v>
      </c>
      <c r="B20" s="12" t="e">
        <f>SUM(B18:B19)</f>
        <v>#DIV/0!</v>
      </c>
      <c r="C20" s="7"/>
    </row>
    <row r="21" spans="1:9" s="3" customFormat="1" ht="12.75" x14ac:dyDescent="0.2">
      <c r="A21" s="3" t="s">
        <v>125</v>
      </c>
    </row>
    <row r="22" spans="1:9" x14ac:dyDescent="0.2">
      <c r="A22" s="2" t="s">
        <v>46</v>
      </c>
      <c r="B22" s="12" t="e">
        <f>AVERAGE(B5:F9)</f>
        <v>#REF!</v>
      </c>
      <c r="C22" s="7"/>
    </row>
    <row r="23" spans="1:9" ht="12" customHeight="1" x14ac:dyDescent="0.2">
      <c r="A23" s="2" t="s">
        <v>47</v>
      </c>
      <c r="B23" s="12" t="e">
        <f>SQRT(B18)</f>
        <v>#DIV/0!</v>
      </c>
      <c r="C23" s="7"/>
    </row>
    <row r="24" spans="1:9" x14ac:dyDescent="0.2">
      <c r="A24" s="2" t="s">
        <v>48</v>
      </c>
      <c r="B24" s="12" t="e">
        <f>SQRT(B19)</f>
        <v>#REF!</v>
      </c>
      <c r="C24" s="7"/>
    </row>
    <row r="25" spans="1:9" x14ac:dyDescent="0.2">
      <c r="A25" s="2" t="s">
        <v>49</v>
      </c>
      <c r="B25" s="12" t="e">
        <f>SQRT(B20)</f>
        <v>#DIV/0!</v>
      </c>
      <c r="C25" s="7"/>
    </row>
    <row r="26" spans="1:9" s="3" customFormat="1" ht="12.75" x14ac:dyDescent="0.2">
      <c r="A26" s="3" t="s">
        <v>126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127</v>
      </c>
    </row>
    <row r="29" spans="1:9" x14ac:dyDescent="0.2">
      <c r="A29" s="2" t="s">
        <v>50</v>
      </c>
      <c r="B29" s="6" t="e">
        <f>B19/B18</f>
        <v>#REF!</v>
      </c>
      <c r="C29" s="7"/>
    </row>
    <row r="30" spans="1:9" x14ac:dyDescent="0.2">
      <c r="A30" s="2" t="s">
        <v>128</v>
      </c>
      <c r="B30" s="6" t="e">
        <f>(B29+1)/(B13*B29+1)</f>
        <v>#REF!</v>
      </c>
      <c r="C30" s="7"/>
    </row>
    <row r="31" spans="1:9" x14ac:dyDescent="0.2">
      <c r="A31" s="2" t="s">
        <v>51</v>
      </c>
      <c r="B31" s="6" t="e">
        <f>SQRT(1+1/(B12*B30))</f>
        <v>#REF!</v>
      </c>
      <c r="C31" s="7"/>
    </row>
    <row r="32" spans="1:9" x14ac:dyDescent="0.2">
      <c r="A32" s="2" t="s">
        <v>52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6" t="e">
        <f>Récapitulatif!C2</f>
        <v>#REF!</v>
      </c>
      <c r="C33" s="7"/>
    </row>
    <row r="34" spans="1:3" x14ac:dyDescent="0.2">
      <c r="A34" s="2" t="s">
        <v>129</v>
      </c>
      <c r="B34" s="6" t="e">
        <f>TINV(1-B33,ROUNDDOWN(B32,0))</f>
        <v>#REF!</v>
      </c>
      <c r="C34" s="7"/>
    </row>
    <row r="35" spans="1:3" x14ac:dyDescent="0.2">
      <c r="A35" s="2" t="s">
        <v>130</v>
      </c>
      <c r="B35" s="6" t="e">
        <f>TINV(1-B33,ROUNDUP(B32,0))</f>
        <v>#REF!</v>
      </c>
      <c r="C35" s="7"/>
    </row>
    <row r="36" spans="1:3" x14ac:dyDescent="0.2">
      <c r="A36" s="2" t="s">
        <v>131</v>
      </c>
      <c r="B36" s="6" t="e">
        <f>B34-(B34-B35)*(B32-ROUNDDOWN(B32,0))</f>
        <v>#REF!</v>
      </c>
      <c r="C36" s="7"/>
    </row>
    <row r="37" spans="1:3" x14ac:dyDescent="0.2">
      <c r="A37" s="2" t="s">
        <v>132</v>
      </c>
      <c r="B37" s="6" t="e">
        <f>B36*B31</f>
        <v>#REF!</v>
      </c>
      <c r="C37" s="7"/>
    </row>
    <row r="38" spans="1:3" s="3" customFormat="1" ht="12.75" x14ac:dyDescent="0.2">
      <c r="A38" s="3" t="s">
        <v>133</v>
      </c>
    </row>
    <row r="39" spans="1:3" x14ac:dyDescent="0.2">
      <c r="A39" s="2" t="s">
        <v>53</v>
      </c>
      <c r="B39" s="6" t="e">
        <f>B22-B37*B25</f>
        <v>#REF!</v>
      </c>
      <c r="C39" s="7"/>
    </row>
    <row r="40" spans="1:3" x14ac:dyDescent="0.2">
      <c r="A40" s="2" t="s">
        <v>54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31</v>
      </c>
    </row>
    <row r="2" spans="1:9" ht="13.5" thickBot="1" x14ac:dyDescent="0.25">
      <c r="A2" s="3" t="s">
        <v>45</v>
      </c>
      <c r="B2" s="4">
        <v>110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110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111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112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113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114</v>
      </c>
      <c r="B9" s="36"/>
      <c r="C9" s="36"/>
      <c r="D9" s="36"/>
      <c r="E9" s="36"/>
      <c r="F9" s="37"/>
      <c r="H9" s="5"/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115</v>
      </c>
      <c r="B11" s="2">
        <f>COUNT(B5:B9)</f>
        <v>0</v>
      </c>
      <c r="C11" s="7"/>
    </row>
    <row r="12" spans="1:9" x14ac:dyDescent="0.2">
      <c r="A12" s="2" t="s">
        <v>116</v>
      </c>
      <c r="B12" s="2">
        <f>COUNT(B5:F9)</f>
        <v>0</v>
      </c>
      <c r="C12" s="7"/>
    </row>
    <row r="13" spans="1:9" x14ac:dyDescent="0.2">
      <c r="A13" s="2" t="s">
        <v>117</v>
      </c>
      <c r="B13" s="2">
        <f>IF(H5*B11&lt;&gt;B12,"Calcul impossible",H5)</f>
        <v>0</v>
      </c>
      <c r="C13" s="7"/>
    </row>
    <row r="14" spans="1:9" x14ac:dyDescent="0.2">
      <c r="A14" s="2" t="s">
        <v>118</v>
      </c>
      <c r="B14" s="12">
        <f>SUM(I5:I9)</f>
        <v>0</v>
      </c>
      <c r="C14" s="7"/>
    </row>
    <row r="15" spans="1:9" x14ac:dyDescent="0.2">
      <c r="A15" s="2" t="s">
        <v>119</v>
      </c>
      <c r="B15" s="12" t="e">
        <f>DEVSQ(B5:F9)</f>
        <v>#REF!</v>
      </c>
      <c r="C15" s="7"/>
    </row>
    <row r="16" spans="1:9" x14ac:dyDescent="0.2">
      <c r="A16" s="2" t="s">
        <v>120</v>
      </c>
      <c r="B16" s="12" t="e">
        <f>B15-B14</f>
        <v>#REF!</v>
      </c>
      <c r="C16" s="7"/>
    </row>
    <row r="17" spans="1:9" x14ac:dyDescent="0.2">
      <c r="A17" s="2" t="s">
        <v>121</v>
      </c>
      <c r="B17" s="12" t="e">
        <f>((B16/(B11-1))-B18)/B13</f>
        <v>#REF!</v>
      </c>
      <c r="C17" s="7"/>
    </row>
    <row r="18" spans="1:9" x14ac:dyDescent="0.2">
      <c r="A18" s="2" t="s">
        <v>122</v>
      </c>
      <c r="B18" s="12" t="e">
        <f>B14/(B12-B11)</f>
        <v>#DIV/0!</v>
      </c>
      <c r="C18" s="7"/>
    </row>
    <row r="19" spans="1:9" x14ac:dyDescent="0.2">
      <c r="A19" s="2" t="s">
        <v>123</v>
      </c>
      <c r="B19" s="12" t="e">
        <f>IF(B17&lt;0,0,B17)</f>
        <v>#REF!</v>
      </c>
      <c r="C19" s="7"/>
    </row>
    <row r="20" spans="1:9" x14ac:dyDescent="0.2">
      <c r="A20" s="2" t="s">
        <v>124</v>
      </c>
      <c r="B20" s="12" t="e">
        <f>SUM(B18:B19)</f>
        <v>#DIV/0!</v>
      </c>
      <c r="C20" s="7"/>
    </row>
    <row r="21" spans="1:9" s="3" customFormat="1" ht="12.75" x14ac:dyDescent="0.2">
      <c r="A21" s="3" t="s">
        <v>125</v>
      </c>
    </row>
    <row r="22" spans="1:9" x14ac:dyDescent="0.2">
      <c r="A22" s="2" t="s">
        <v>46</v>
      </c>
      <c r="B22" s="12" t="e">
        <f>AVERAGE(B5:F9)</f>
        <v>#REF!</v>
      </c>
      <c r="C22" s="7"/>
    </row>
    <row r="23" spans="1:9" ht="12" customHeight="1" x14ac:dyDescent="0.2">
      <c r="A23" s="2" t="s">
        <v>47</v>
      </c>
      <c r="B23" s="12" t="e">
        <f>SQRT(B18)</f>
        <v>#DIV/0!</v>
      </c>
      <c r="C23" s="7"/>
    </row>
    <row r="24" spans="1:9" x14ac:dyDescent="0.2">
      <c r="A24" s="2" t="s">
        <v>48</v>
      </c>
      <c r="B24" s="12" t="e">
        <f>SQRT(B19)</f>
        <v>#REF!</v>
      </c>
      <c r="C24" s="7"/>
    </row>
    <row r="25" spans="1:9" x14ac:dyDescent="0.2">
      <c r="A25" s="2" t="s">
        <v>49</v>
      </c>
      <c r="B25" s="12" t="e">
        <f>SQRT(B20)</f>
        <v>#DIV/0!</v>
      </c>
      <c r="C25" s="7"/>
    </row>
    <row r="26" spans="1:9" s="3" customFormat="1" ht="12.75" x14ac:dyDescent="0.2">
      <c r="A26" s="3" t="s">
        <v>126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127</v>
      </c>
    </row>
    <row r="29" spans="1:9" x14ac:dyDescent="0.2">
      <c r="A29" s="2" t="s">
        <v>50</v>
      </c>
      <c r="B29" s="6" t="e">
        <f>B19/B18</f>
        <v>#REF!</v>
      </c>
      <c r="C29" s="7"/>
    </row>
    <row r="30" spans="1:9" x14ac:dyDescent="0.2">
      <c r="A30" s="2" t="s">
        <v>128</v>
      </c>
      <c r="B30" s="6" t="e">
        <f>(B29+1)/(B13*B29+1)</f>
        <v>#REF!</v>
      </c>
      <c r="C30" s="7"/>
    </row>
    <row r="31" spans="1:9" x14ac:dyDescent="0.2">
      <c r="A31" s="2" t="s">
        <v>51</v>
      </c>
      <c r="B31" s="6" t="e">
        <f>SQRT(1+1/(B12*B30))</f>
        <v>#REF!</v>
      </c>
      <c r="C31" s="7"/>
    </row>
    <row r="32" spans="1:9" x14ac:dyDescent="0.2">
      <c r="A32" s="2" t="s">
        <v>52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6" t="e">
        <f>Récapitulatif!C2</f>
        <v>#REF!</v>
      </c>
      <c r="C33" s="7"/>
    </row>
    <row r="34" spans="1:3" x14ac:dyDescent="0.2">
      <c r="A34" s="2" t="s">
        <v>129</v>
      </c>
      <c r="B34" s="6" t="e">
        <f>TINV(1-B33,ROUNDDOWN(B32,0))</f>
        <v>#REF!</v>
      </c>
      <c r="C34" s="7"/>
    </row>
    <row r="35" spans="1:3" x14ac:dyDescent="0.2">
      <c r="A35" s="2" t="s">
        <v>130</v>
      </c>
      <c r="B35" s="6" t="e">
        <f>TINV(1-B33,ROUNDUP(B32,0))</f>
        <v>#REF!</v>
      </c>
      <c r="C35" s="7"/>
    </row>
    <row r="36" spans="1:3" x14ac:dyDescent="0.2">
      <c r="A36" s="2" t="s">
        <v>131</v>
      </c>
      <c r="B36" s="6" t="e">
        <f>B34-(B34-B35)*(B32-ROUNDDOWN(B32,0))</f>
        <v>#REF!</v>
      </c>
      <c r="C36" s="7"/>
    </row>
    <row r="37" spans="1:3" x14ac:dyDescent="0.2">
      <c r="A37" s="2" t="s">
        <v>132</v>
      </c>
      <c r="B37" s="6" t="e">
        <f>B36*B31</f>
        <v>#REF!</v>
      </c>
      <c r="C37" s="7"/>
    </row>
    <row r="38" spans="1:3" s="3" customFormat="1" ht="12.75" x14ac:dyDescent="0.2">
      <c r="A38" s="3" t="s">
        <v>133</v>
      </c>
    </row>
    <row r="39" spans="1:3" x14ac:dyDescent="0.2">
      <c r="A39" s="2" t="s">
        <v>53</v>
      </c>
      <c r="B39" s="6" t="e">
        <f>B22-B37*B25</f>
        <v>#REF!</v>
      </c>
      <c r="C39" s="7"/>
    </row>
    <row r="40" spans="1:3" x14ac:dyDescent="0.2">
      <c r="A40" s="2" t="s">
        <v>54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3" width="10.85546875" style="2" customWidth="1"/>
    <col min="4" max="4" width="12.140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32</v>
      </c>
    </row>
    <row r="2" spans="1:9" ht="13.5" thickBot="1" x14ac:dyDescent="0.25">
      <c r="A2" s="3" t="s">
        <v>45</v>
      </c>
      <c r="B2" s="4">
        <v>120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110</v>
      </c>
      <c r="B5" s="36"/>
      <c r="C5" s="36"/>
      <c r="D5" s="36"/>
      <c r="E5" s="37"/>
      <c r="F5" s="37"/>
      <c r="H5" s="5"/>
      <c r="I5" s="6"/>
    </row>
    <row r="6" spans="1:9" x14ac:dyDescent="0.2">
      <c r="A6" s="2" t="s">
        <v>111</v>
      </c>
      <c r="B6" s="36" t="e">
        <f>#REF!*$B$2</f>
        <v>#REF!</v>
      </c>
      <c r="C6" s="36" t="e">
        <f>#REF!*$B$2</f>
        <v>#REF!</v>
      </c>
      <c r="D6" s="36"/>
      <c r="E6" s="37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112</v>
      </c>
      <c r="B7" s="36" t="e">
        <f>#REF!*$B$2</f>
        <v>#REF!</v>
      </c>
      <c r="C7" s="36" t="e">
        <f>#REF!*$B$2</f>
        <v>#REF!</v>
      </c>
      <c r="D7" s="36"/>
      <c r="E7" s="37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113</v>
      </c>
      <c r="B8" s="36" t="e">
        <f>#REF!*$B$2</f>
        <v>#REF!</v>
      </c>
      <c r="C8" s="36" t="e">
        <f>#REF!*$B$2</f>
        <v>#REF!</v>
      </c>
      <c r="D8" s="37"/>
      <c r="E8" s="37"/>
      <c r="F8" s="37"/>
      <c r="H8" s="5">
        <f t="shared" ref="H8:H9" si="0">COUNT(B8:F8)</f>
        <v>0</v>
      </c>
      <c r="I8" s="6" t="str">
        <f t="shared" ref="I8:I9" si="1">IF(H8=0,"",DEVSQ(B8:F8))</f>
        <v/>
      </c>
    </row>
    <row r="9" spans="1:9" x14ac:dyDescent="0.2">
      <c r="A9" s="2" t="s">
        <v>114</v>
      </c>
      <c r="B9" s="36" t="e">
        <f>#REF!*$B$2</f>
        <v>#REF!</v>
      </c>
      <c r="C9" s="36" t="e">
        <f>#REF!*$B$2</f>
        <v>#REF!</v>
      </c>
      <c r="D9" s="37"/>
      <c r="E9" s="37"/>
      <c r="F9" s="37"/>
      <c r="H9" s="5">
        <f t="shared" si="0"/>
        <v>0</v>
      </c>
      <c r="I9" s="6" t="str">
        <f t="shared" si="1"/>
        <v/>
      </c>
    </row>
    <row r="10" spans="1:9" s="3" customFormat="1" ht="12.75" x14ac:dyDescent="0.2"/>
    <row r="11" spans="1:9" x14ac:dyDescent="0.2">
      <c r="A11" s="2" t="s">
        <v>115</v>
      </c>
      <c r="B11" s="2">
        <f>COUNT(B5:B9)</f>
        <v>0</v>
      </c>
      <c r="C11" s="7"/>
    </row>
    <row r="12" spans="1:9" x14ac:dyDescent="0.2">
      <c r="A12" s="2" t="s">
        <v>116</v>
      </c>
      <c r="B12" s="2">
        <f>COUNT(B5:F9)</f>
        <v>0</v>
      </c>
      <c r="C12" s="7"/>
    </row>
    <row r="13" spans="1:9" x14ac:dyDescent="0.2">
      <c r="A13" s="2" t="s">
        <v>117</v>
      </c>
      <c r="B13" s="2">
        <f>IF(H6*B11&lt;&gt;B12,"Calcul impossible",H6)</f>
        <v>0</v>
      </c>
      <c r="C13" s="7"/>
    </row>
    <row r="14" spans="1:9" x14ac:dyDescent="0.2">
      <c r="A14" s="2" t="s">
        <v>118</v>
      </c>
      <c r="B14" s="12">
        <f>SUM(I5:I9)</f>
        <v>0</v>
      </c>
      <c r="C14" s="7"/>
    </row>
    <row r="15" spans="1:9" x14ac:dyDescent="0.2">
      <c r="A15" s="2" t="s">
        <v>119</v>
      </c>
      <c r="B15" s="12" t="e">
        <f>DEVSQ(B5:F9)</f>
        <v>#REF!</v>
      </c>
      <c r="C15" s="7"/>
    </row>
    <row r="16" spans="1:9" x14ac:dyDescent="0.2">
      <c r="A16" s="2" t="s">
        <v>120</v>
      </c>
      <c r="B16" s="12" t="e">
        <f>B15-B14</f>
        <v>#REF!</v>
      </c>
      <c r="C16" s="7"/>
    </row>
    <row r="17" spans="1:9" x14ac:dyDescent="0.2">
      <c r="A17" s="2" t="s">
        <v>121</v>
      </c>
      <c r="B17" s="12" t="e">
        <f>((B16/(B11-1))-B18)/B13</f>
        <v>#REF!</v>
      </c>
      <c r="C17" s="7"/>
    </row>
    <row r="18" spans="1:9" x14ac:dyDescent="0.2">
      <c r="A18" s="2" t="s">
        <v>122</v>
      </c>
      <c r="B18" s="12" t="e">
        <f>B14/(B12-B11)</f>
        <v>#DIV/0!</v>
      </c>
      <c r="C18" s="7"/>
    </row>
    <row r="19" spans="1:9" x14ac:dyDescent="0.2">
      <c r="A19" s="2" t="s">
        <v>123</v>
      </c>
      <c r="B19" s="12" t="e">
        <f>IF(B17&lt;0,0,B17)</f>
        <v>#REF!</v>
      </c>
      <c r="C19" s="7"/>
    </row>
    <row r="20" spans="1:9" x14ac:dyDescent="0.2">
      <c r="A20" s="2" t="s">
        <v>124</v>
      </c>
      <c r="B20" s="12" t="e">
        <f>SUM(B18:B19)</f>
        <v>#DIV/0!</v>
      </c>
      <c r="C20" s="7"/>
    </row>
    <row r="21" spans="1:9" s="3" customFormat="1" ht="12.75" x14ac:dyDescent="0.2">
      <c r="A21" s="3" t="s">
        <v>125</v>
      </c>
    </row>
    <row r="22" spans="1:9" x14ac:dyDescent="0.2">
      <c r="A22" s="2" t="s">
        <v>46</v>
      </c>
      <c r="B22" s="12" t="e">
        <f>AVERAGE(B5:F9)</f>
        <v>#REF!</v>
      </c>
      <c r="C22" s="7"/>
    </row>
    <row r="23" spans="1:9" ht="12" customHeight="1" x14ac:dyDescent="0.2">
      <c r="A23" s="2" t="s">
        <v>47</v>
      </c>
      <c r="B23" s="12" t="e">
        <f>SQRT(B18)</f>
        <v>#DIV/0!</v>
      </c>
      <c r="C23" s="7"/>
    </row>
    <row r="24" spans="1:9" x14ac:dyDescent="0.2">
      <c r="A24" s="2" t="s">
        <v>48</v>
      </c>
      <c r="B24" s="12" t="e">
        <f>SQRT(B19)</f>
        <v>#REF!</v>
      </c>
      <c r="C24" s="7"/>
    </row>
    <row r="25" spans="1:9" x14ac:dyDescent="0.2">
      <c r="A25" s="2" t="s">
        <v>49</v>
      </c>
      <c r="B25" s="12" t="e">
        <f>SQRT(B20)</f>
        <v>#DIV/0!</v>
      </c>
      <c r="C25" s="7"/>
    </row>
    <row r="26" spans="1:9" s="3" customFormat="1" ht="12.75" x14ac:dyDescent="0.2">
      <c r="A26" s="3" t="s">
        <v>126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127</v>
      </c>
    </row>
    <row r="29" spans="1:9" x14ac:dyDescent="0.2">
      <c r="A29" s="2" t="s">
        <v>50</v>
      </c>
      <c r="B29" s="6" t="e">
        <f>B19/B18</f>
        <v>#REF!</v>
      </c>
      <c r="C29" s="7"/>
    </row>
    <row r="30" spans="1:9" x14ac:dyDescent="0.2">
      <c r="A30" s="2" t="s">
        <v>128</v>
      </c>
      <c r="B30" s="6" t="e">
        <f>(B29+1)/(B13*B29+1)</f>
        <v>#REF!</v>
      </c>
      <c r="C30" s="7"/>
    </row>
    <row r="31" spans="1:9" x14ac:dyDescent="0.2">
      <c r="A31" s="2" t="s">
        <v>51</v>
      </c>
      <c r="B31" s="6" t="e">
        <f>SQRT(1+1/(B12*B30))</f>
        <v>#REF!</v>
      </c>
      <c r="C31" s="7"/>
    </row>
    <row r="32" spans="1:9" x14ac:dyDescent="0.2">
      <c r="A32" s="2" t="s">
        <v>52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6" t="e">
        <f>Récapitulatif!C2</f>
        <v>#REF!</v>
      </c>
      <c r="C33" s="7"/>
    </row>
    <row r="34" spans="1:3" x14ac:dyDescent="0.2">
      <c r="A34" s="2" t="s">
        <v>129</v>
      </c>
      <c r="B34" s="6" t="e">
        <f>TINV(1-B33,ROUNDDOWN(B32,0))</f>
        <v>#REF!</v>
      </c>
      <c r="C34" s="7"/>
    </row>
    <row r="35" spans="1:3" x14ac:dyDescent="0.2">
      <c r="A35" s="2" t="s">
        <v>130</v>
      </c>
      <c r="B35" s="6" t="e">
        <f>TINV(1-B33,ROUNDUP(B32,0))</f>
        <v>#REF!</v>
      </c>
      <c r="C35" s="7"/>
    </row>
    <row r="36" spans="1:3" x14ac:dyDescent="0.2">
      <c r="A36" s="2" t="s">
        <v>131</v>
      </c>
      <c r="B36" s="6" t="e">
        <f>B34-(B34-B35)*(B32-ROUNDDOWN(B32,0))</f>
        <v>#REF!</v>
      </c>
      <c r="C36" s="7"/>
    </row>
    <row r="37" spans="1:3" x14ac:dyDescent="0.2">
      <c r="A37" s="2" t="s">
        <v>132</v>
      </c>
      <c r="B37" s="6" t="e">
        <f>B36*B31</f>
        <v>#REF!</v>
      </c>
      <c r="C37" s="7"/>
    </row>
    <row r="38" spans="1:3" s="3" customFormat="1" ht="12.75" x14ac:dyDescent="0.2">
      <c r="A38" s="3" t="s">
        <v>133</v>
      </c>
    </row>
    <row r="39" spans="1:3" x14ac:dyDescent="0.2">
      <c r="A39" s="2" t="s">
        <v>53</v>
      </c>
      <c r="B39" s="6" t="e">
        <f>B22-B37*B25</f>
        <v>#REF!</v>
      </c>
      <c r="C39" s="7"/>
    </row>
    <row r="40" spans="1:3" x14ac:dyDescent="0.2">
      <c r="A40" s="2" t="s">
        <v>54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8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CGL4f4n</vt:lpstr>
      <vt:lpstr>CGL4f4n (2)</vt:lpstr>
      <vt:lpstr>Récapitulatif</vt:lpstr>
      <vt:lpstr>80%</vt:lpstr>
      <vt:lpstr>90%</vt:lpstr>
      <vt:lpstr>100%</vt:lpstr>
      <vt:lpstr>110%</vt:lpstr>
      <vt:lpstr>120%</vt:lpstr>
      <vt:lpstr>Graph Profil</vt:lpstr>
      <vt:lpstr>'80%'!Zone_d_impression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2017-02-03T08:41:23Z</dcterms:created>
  <dcterms:modified xsi:type="dcterms:W3CDTF">2025-11-17T17:35:59Z</dcterms:modified>
</cp:coreProperties>
</file>